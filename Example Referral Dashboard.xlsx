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dmin\for keeps admin\Reports\Example Reports\"/>
    </mc:Choice>
  </mc:AlternateContent>
  <xr:revisionPtr revIDLastSave="0" documentId="13_ncr:1_{7EE9BB25-4552-455D-94F1-B46D38138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ferrals" sheetId="1" r:id="rId1"/>
    <sheet name="calcs" sheetId="5" r:id="rId2"/>
    <sheet name="Data Staging Provider Stats" sheetId="4" r:id="rId3"/>
    <sheet name="Data Staging Lag" sheetId="3" r:id="rId4"/>
    <sheet name="Data Staging Practice Stats" sheetId="6" r:id="rId5"/>
  </sheets>
  <definedNames>
    <definedName name="_xlnm.Print_Area" localSheetId="0">Referrals!$B$1:$S$45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5" l="1"/>
  <c r="U23" i="5"/>
  <c r="V23" i="5"/>
  <c r="W23" i="5"/>
  <c r="X23" i="5"/>
  <c r="Y23" i="5"/>
  <c r="Z23" i="5"/>
  <c r="AA23" i="5"/>
  <c r="AB23" i="5"/>
  <c r="AC23" i="5"/>
  <c r="AD23" i="5"/>
  <c r="AE23" i="5"/>
  <c r="S23" i="5"/>
  <c r="AH18" i="1" l="1"/>
  <c r="AG18" i="1"/>
  <c r="AF18" i="1"/>
  <c r="AE18" i="1"/>
  <c r="AD18" i="1"/>
  <c r="AC18" i="1"/>
  <c r="AA18" i="1"/>
  <c r="Z18" i="1"/>
  <c r="Y18" i="1"/>
  <c r="X18" i="1"/>
  <c r="W18" i="1"/>
  <c r="V18" i="1"/>
  <c r="S19" i="5" l="1"/>
  <c r="T19" i="5"/>
  <c r="U19" i="5"/>
  <c r="V19" i="5"/>
  <c r="W19" i="5"/>
  <c r="X19" i="5"/>
  <c r="Y19" i="5"/>
  <c r="Z19" i="5"/>
  <c r="AA19" i="5"/>
  <c r="AB19" i="5"/>
  <c r="AC19" i="5"/>
  <c r="AD19" i="5"/>
  <c r="AE19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B21" i="1" l="1"/>
  <c r="B18" i="1"/>
  <c r="B10" i="1" l="1"/>
  <c r="B6" i="1"/>
  <c r="B22" i="1" l="1"/>
  <c r="AB18" i="1" l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D41" i="5"/>
  <c r="F41" i="5" s="1"/>
  <c r="K29" i="1" s="1"/>
  <c r="D42" i="5"/>
  <c r="E42" i="5" s="1"/>
  <c r="M30" i="1" s="1"/>
  <c r="D43" i="5"/>
  <c r="E43" i="5" s="1"/>
  <c r="M31" i="1" s="1"/>
  <c r="D44" i="5"/>
  <c r="E44" i="5" s="1"/>
  <c r="M32" i="1" s="1"/>
  <c r="D45" i="5"/>
  <c r="F45" i="5" s="1"/>
  <c r="K33" i="1" s="1"/>
  <c r="D22" i="5"/>
  <c r="E22" i="5" s="1"/>
  <c r="G32" i="1" s="1"/>
  <c r="D23" i="5"/>
  <c r="F23" i="5" s="1"/>
  <c r="E33" i="1" s="1"/>
  <c r="D19" i="5"/>
  <c r="E19" i="5" s="1"/>
  <c r="G29" i="1" s="1"/>
  <c r="D20" i="5"/>
  <c r="F20" i="5" s="1"/>
  <c r="E30" i="1" s="1"/>
  <c r="D21" i="5"/>
  <c r="E21" i="5" s="1"/>
  <c r="G31" i="1" s="1"/>
  <c r="S15" i="5" l="1"/>
  <c r="T15" i="5"/>
  <c r="U15" i="5"/>
  <c r="V15" i="5"/>
  <c r="W15" i="5"/>
  <c r="Z30" i="1" s="1"/>
  <c r="X15" i="5"/>
  <c r="Y15" i="5"/>
  <c r="Z15" i="5"/>
  <c r="AC15" i="5"/>
  <c r="AE15" i="5"/>
  <c r="AA15" i="5"/>
  <c r="AB15" i="5"/>
  <c r="AD15" i="5"/>
  <c r="V16" i="5"/>
  <c r="W16" i="5"/>
  <c r="Y16" i="5"/>
  <c r="X16" i="5"/>
  <c r="AA31" i="1" s="1"/>
  <c r="Z16" i="5"/>
  <c r="AA16" i="5"/>
  <c r="AB16" i="5"/>
  <c r="AC16" i="5"/>
  <c r="AD16" i="5"/>
  <c r="AG31" i="1" s="1"/>
  <c r="S16" i="5"/>
  <c r="AE16" i="5"/>
  <c r="T16" i="5"/>
  <c r="U16" i="5"/>
  <c r="T14" i="5"/>
  <c r="W29" i="1" s="1"/>
  <c r="U14" i="5"/>
  <c r="AB14" i="5"/>
  <c r="V14" i="5"/>
  <c r="W14" i="5"/>
  <c r="Z14" i="5"/>
  <c r="X14" i="5"/>
  <c r="Y14" i="5"/>
  <c r="AA14" i="5"/>
  <c r="AD14" i="5"/>
  <c r="AE14" i="5"/>
  <c r="S14" i="5"/>
  <c r="AC14" i="5"/>
  <c r="AB18" i="5"/>
  <c r="AC18" i="5"/>
  <c r="AE18" i="5"/>
  <c r="X18" i="5"/>
  <c r="S18" i="5"/>
  <c r="U18" i="5"/>
  <c r="V18" i="5"/>
  <c r="Y18" i="5"/>
  <c r="T18" i="5"/>
  <c r="Z18" i="5"/>
  <c r="AA18" i="5"/>
  <c r="AD18" i="5"/>
  <c r="W18" i="5"/>
  <c r="AE4" i="5"/>
  <c r="S4" i="5"/>
  <c r="T4" i="5"/>
  <c r="W19" i="1" s="1"/>
  <c r="AB4" i="5"/>
  <c r="AA4" i="5"/>
  <c r="Z4" i="5"/>
  <c r="X4" i="5"/>
  <c r="W4" i="5"/>
  <c r="V4" i="5"/>
  <c r="Y19" i="1" s="1"/>
  <c r="AD4" i="5"/>
  <c r="AC4" i="5"/>
  <c r="U4" i="5"/>
  <c r="U5" i="5"/>
  <c r="X20" i="1" s="1"/>
  <c r="V5" i="5"/>
  <c r="W5" i="5"/>
  <c r="Z20" i="1" s="1"/>
  <c r="X5" i="5"/>
  <c r="Y5" i="5"/>
  <c r="Z5" i="5"/>
  <c r="AA5" i="5"/>
  <c r="AB5" i="5"/>
  <c r="AE20" i="1" s="1"/>
  <c r="AE5" i="5"/>
  <c r="AC5" i="5"/>
  <c r="AF20" i="1" s="1"/>
  <c r="AD5" i="5"/>
  <c r="S5" i="5"/>
  <c r="T5" i="5"/>
  <c r="X6" i="5"/>
  <c r="Y6" i="5"/>
  <c r="Z6" i="5"/>
  <c r="AA6" i="5"/>
  <c r="AB6" i="5"/>
  <c r="AE21" i="1" s="1"/>
  <c r="AC6" i="5"/>
  <c r="AD6" i="5"/>
  <c r="AE6" i="5"/>
  <c r="AH21" i="1" s="1"/>
  <c r="T6" i="5"/>
  <c r="S6" i="5"/>
  <c r="V21" i="1" s="1"/>
  <c r="U6" i="5"/>
  <c r="V6" i="5"/>
  <c r="W6" i="5"/>
  <c r="Y17" i="5"/>
  <c r="Z17" i="5"/>
  <c r="AA17" i="5"/>
  <c r="V17" i="5"/>
  <c r="AC17" i="5"/>
  <c r="AF32" i="1" s="1"/>
  <c r="AD17" i="5"/>
  <c r="S17" i="5"/>
  <c r="AE17" i="5"/>
  <c r="AH32" i="1" s="1"/>
  <c r="U17" i="5"/>
  <c r="T17" i="5"/>
  <c r="W32" i="1" s="1"/>
  <c r="W17" i="5"/>
  <c r="X17" i="5"/>
  <c r="AB17" i="5"/>
  <c r="AA7" i="5"/>
  <c r="AB7" i="5"/>
  <c r="AE22" i="1" s="1"/>
  <c r="AC7" i="5"/>
  <c r="AF22" i="1" s="1"/>
  <c r="AD7" i="5"/>
  <c r="AG22" i="1" s="1"/>
  <c r="AE7" i="5"/>
  <c r="AH22" i="1" s="1"/>
  <c r="S7" i="5"/>
  <c r="V22" i="1" s="1"/>
  <c r="U7" i="5"/>
  <c r="W7" i="5"/>
  <c r="Z22" i="1" s="1"/>
  <c r="T7" i="5"/>
  <c r="V7" i="5"/>
  <c r="Y7" i="5"/>
  <c r="AB22" i="1" s="1"/>
  <c r="Z7" i="5"/>
  <c r="AC22" i="1" s="1"/>
  <c r="X7" i="5"/>
  <c r="AA22" i="1" s="1"/>
  <c r="U23" i="1"/>
  <c r="AD8" i="5"/>
  <c r="AE8" i="5"/>
  <c r="AH23" i="1" s="1"/>
  <c r="Z8" i="5"/>
  <c r="S8" i="5"/>
  <c r="T8" i="5"/>
  <c r="W23" i="1" s="1"/>
  <c r="U8" i="5"/>
  <c r="X23" i="1" s="1"/>
  <c r="X8" i="5"/>
  <c r="AA8" i="5"/>
  <c r="AD23" i="1" s="1"/>
  <c r="V8" i="5"/>
  <c r="W8" i="5"/>
  <c r="Y8" i="5"/>
  <c r="AB8" i="5"/>
  <c r="AE23" i="1" s="1"/>
  <c r="AC8" i="5"/>
  <c r="AF23" i="1" s="1"/>
  <c r="U24" i="1"/>
  <c r="S9" i="5"/>
  <c r="AD9" i="5"/>
  <c r="T9" i="5"/>
  <c r="W24" i="1" s="1"/>
  <c r="U9" i="5"/>
  <c r="X24" i="1" s="1"/>
  <c r="V9" i="5"/>
  <c r="Y24" i="1" s="1"/>
  <c r="W9" i="5"/>
  <c r="Z24" i="1" s="1"/>
  <c r="X9" i="5"/>
  <c r="AA24" i="1" s="1"/>
  <c r="Y9" i="5"/>
  <c r="Z9" i="5"/>
  <c r="AA9" i="5"/>
  <c r="AD24" i="1" s="1"/>
  <c r="AB9" i="5"/>
  <c r="AE9" i="5"/>
  <c r="AH24" i="1" s="1"/>
  <c r="AC9" i="5"/>
  <c r="AF24" i="1" s="1"/>
  <c r="T10" i="5"/>
  <c r="W25" i="1" s="1"/>
  <c r="U10" i="5"/>
  <c r="X25" i="1" s="1"/>
  <c r="V10" i="5"/>
  <c r="Y25" i="1" s="1"/>
  <c r="W10" i="5"/>
  <c r="Z25" i="1" s="1"/>
  <c r="X10" i="5"/>
  <c r="AA25" i="1" s="1"/>
  <c r="AD10" i="5"/>
  <c r="AG25" i="1" s="1"/>
  <c r="Y10" i="5"/>
  <c r="AB25" i="1" s="1"/>
  <c r="Z10" i="5"/>
  <c r="AC25" i="1" s="1"/>
  <c r="AA10" i="5"/>
  <c r="AD25" i="1" s="1"/>
  <c r="AB10" i="5"/>
  <c r="AE25" i="1" s="1"/>
  <c r="AC10" i="5"/>
  <c r="AE10" i="5"/>
  <c r="AH25" i="1" s="1"/>
  <c r="S10" i="5"/>
  <c r="W11" i="5"/>
  <c r="X11" i="5"/>
  <c r="Y11" i="5"/>
  <c r="AB26" i="1" s="1"/>
  <c r="T11" i="5"/>
  <c r="W26" i="1" s="1"/>
  <c r="S11" i="5"/>
  <c r="V26" i="1" s="1"/>
  <c r="AA11" i="5"/>
  <c r="AB11" i="5"/>
  <c r="AE26" i="1" s="1"/>
  <c r="AC11" i="5"/>
  <c r="AF26" i="1" s="1"/>
  <c r="AD11" i="5"/>
  <c r="AE11" i="5"/>
  <c r="AH26" i="1" s="1"/>
  <c r="U11" i="5"/>
  <c r="X26" i="1" s="1"/>
  <c r="V11" i="5"/>
  <c r="Y26" i="1" s="1"/>
  <c r="Z11" i="5"/>
  <c r="Z12" i="5"/>
  <c r="AA12" i="5"/>
  <c r="AD27" i="1" s="1"/>
  <c r="AB12" i="5"/>
  <c r="AE27" i="1" s="1"/>
  <c r="V12" i="5"/>
  <c r="Y27" i="1" s="1"/>
  <c r="AC12" i="5"/>
  <c r="AF27" i="1" s="1"/>
  <c r="AD12" i="5"/>
  <c r="AG27" i="1" s="1"/>
  <c r="W12" i="5"/>
  <c r="Z27" i="1" s="1"/>
  <c r="AE12" i="5"/>
  <c r="AH27" i="1" s="1"/>
  <c r="T12" i="5"/>
  <c r="S12" i="5"/>
  <c r="U12" i="5"/>
  <c r="X27" i="1" s="1"/>
  <c r="X12" i="5"/>
  <c r="AA27" i="1" s="1"/>
  <c r="Y12" i="5"/>
  <c r="AB27" i="1" s="1"/>
  <c r="AC13" i="5"/>
  <c r="AF28" i="1" s="1"/>
  <c r="AD13" i="5"/>
  <c r="AE13" i="5"/>
  <c r="S13" i="5"/>
  <c r="V28" i="1" s="1"/>
  <c r="T13" i="5"/>
  <c r="W28" i="1" s="1"/>
  <c r="Z13" i="5"/>
  <c r="AC28" i="1" s="1"/>
  <c r="U13" i="5"/>
  <c r="X28" i="1" s="1"/>
  <c r="W13" i="5"/>
  <c r="Z28" i="1" s="1"/>
  <c r="V13" i="5"/>
  <c r="Y28" i="1" s="1"/>
  <c r="X13" i="5"/>
  <c r="AA13" i="5"/>
  <c r="AB13" i="5"/>
  <c r="AE28" i="1" s="1"/>
  <c r="Y13" i="5"/>
  <c r="AB28" i="1" s="1"/>
  <c r="AB32" i="1"/>
  <c r="Y31" i="1"/>
  <c r="AB29" i="1"/>
  <c r="AF25" i="1"/>
  <c r="AH33" i="1"/>
  <c r="AE33" i="1"/>
  <c r="AD33" i="1"/>
  <c r="AB33" i="1"/>
  <c r="W33" i="1"/>
  <c r="AI18" i="1"/>
  <c r="AE32" i="1"/>
  <c r="Y30" i="1"/>
  <c r="AD26" i="1"/>
  <c r="AH20" i="1"/>
  <c r="AG33" i="1"/>
  <c r="AD32" i="1"/>
  <c r="X30" i="1"/>
  <c r="AC26" i="1"/>
  <c r="AG20" i="1"/>
  <c r="AF33" i="1"/>
  <c r="AC32" i="1"/>
  <c r="Z31" i="1"/>
  <c r="W30" i="1"/>
  <c r="AH28" i="1"/>
  <c r="V24" i="1"/>
  <c r="AC21" i="1"/>
  <c r="U22" i="1"/>
  <c r="AB21" i="1"/>
  <c r="U21" i="1"/>
  <c r="AA32" i="1"/>
  <c r="X31" i="1"/>
  <c r="AC27" i="1"/>
  <c r="Z26" i="1"/>
  <c r="AG23" i="1"/>
  <c r="AD22" i="1"/>
  <c r="AA21" i="1"/>
  <c r="U20" i="1"/>
  <c r="AD20" i="1"/>
  <c r="AC33" i="1"/>
  <c r="Z32" i="1"/>
  <c r="W31" i="1"/>
  <c r="AH29" i="1"/>
  <c r="Z21" i="1"/>
  <c r="U28" i="1"/>
  <c r="AC20" i="1"/>
  <c r="Y32" i="1"/>
  <c r="V31" i="1"/>
  <c r="AG29" i="1"/>
  <c r="AD28" i="1"/>
  <c r="Y21" i="1"/>
  <c r="AF19" i="5"/>
  <c r="U27" i="1"/>
  <c r="AB20" i="1"/>
  <c r="AA33" i="1"/>
  <c r="X32" i="1"/>
  <c r="AH30" i="1"/>
  <c r="AF29" i="1"/>
  <c r="AG24" i="1"/>
  <c r="X21" i="1"/>
  <c r="AA26" i="1"/>
  <c r="AA20" i="1"/>
  <c r="Z33" i="1"/>
  <c r="AG30" i="1"/>
  <c r="AE29" i="1"/>
  <c r="AC23" i="1"/>
  <c r="W21" i="1"/>
  <c r="U19" i="1"/>
  <c r="Y33" i="1"/>
  <c r="AF30" i="1"/>
  <c r="AD29" i="1"/>
  <c r="AA28" i="1"/>
  <c r="AE24" i="1"/>
  <c r="AB23" i="1"/>
  <c r="Y22" i="1"/>
  <c r="U33" i="1"/>
  <c r="Y20" i="1"/>
  <c r="X33" i="1"/>
  <c r="AH31" i="1"/>
  <c r="AE30" i="1"/>
  <c r="AC29" i="1"/>
  <c r="W27" i="1"/>
  <c r="AA23" i="1"/>
  <c r="U32" i="1"/>
  <c r="AD30" i="1"/>
  <c r="AC24" i="1"/>
  <c r="Z23" i="1"/>
  <c r="U31" i="1"/>
  <c r="W20" i="1"/>
  <c r="AF31" i="1"/>
  <c r="AC30" i="1"/>
  <c r="AA29" i="1"/>
  <c r="Y23" i="1"/>
  <c r="U30" i="1"/>
  <c r="W22" i="1"/>
  <c r="AE31" i="1"/>
  <c r="AB30" i="1"/>
  <c r="Z29" i="1"/>
  <c r="U29" i="1"/>
  <c r="AG32" i="1"/>
  <c r="AD31" i="1"/>
  <c r="AA30" i="1"/>
  <c r="Y29" i="1"/>
  <c r="AG21" i="1"/>
  <c r="U26" i="1"/>
  <c r="AC31" i="1"/>
  <c r="X29" i="1"/>
  <c r="AF21" i="1"/>
  <c r="U25" i="1"/>
  <c r="Z19" i="1"/>
  <c r="AB31" i="1"/>
  <c r="X19" i="1"/>
  <c r="AC19" i="1"/>
  <c r="AD19" i="1"/>
  <c r="AE19" i="1"/>
  <c r="AH19" i="1"/>
  <c r="AA19" i="1"/>
  <c r="Y4" i="5"/>
  <c r="AB19" i="1" s="1"/>
  <c r="AF19" i="1"/>
  <c r="AG19" i="1"/>
  <c r="J32" i="1"/>
  <c r="J31" i="1"/>
  <c r="J30" i="1"/>
  <c r="J33" i="1"/>
  <c r="J29" i="1"/>
  <c r="D30" i="1"/>
  <c r="D33" i="1"/>
  <c r="D29" i="1"/>
  <c r="D32" i="1"/>
  <c r="D31" i="1"/>
  <c r="E45" i="5"/>
  <c r="M33" i="1" s="1"/>
  <c r="E41" i="5"/>
  <c r="M29" i="1" s="1"/>
  <c r="F44" i="5"/>
  <c r="K32" i="1" s="1"/>
  <c r="G43" i="5"/>
  <c r="L31" i="1" s="1"/>
  <c r="F43" i="5"/>
  <c r="K31" i="1" s="1"/>
  <c r="F42" i="5"/>
  <c r="K30" i="1" s="1"/>
  <c r="G45" i="5"/>
  <c r="L33" i="1" s="1"/>
  <c r="G41" i="5"/>
  <c r="L29" i="1" s="1"/>
  <c r="G44" i="5"/>
  <c r="L32" i="1" s="1"/>
  <c r="G42" i="5"/>
  <c r="L30" i="1" s="1"/>
  <c r="G23" i="5"/>
  <c r="F33" i="1" s="1"/>
  <c r="E23" i="5"/>
  <c r="G33" i="1" s="1"/>
  <c r="G22" i="5"/>
  <c r="F32" i="1" s="1"/>
  <c r="F22" i="5"/>
  <c r="E32" i="1" s="1"/>
  <c r="G20" i="5"/>
  <c r="F30" i="1" s="1"/>
  <c r="E20" i="5"/>
  <c r="G30" i="1" s="1"/>
  <c r="G19" i="5"/>
  <c r="F29" i="1" s="1"/>
  <c r="G21" i="5"/>
  <c r="F31" i="1" s="1"/>
  <c r="F21" i="5"/>
  <c r="E31" i="1" s="1"/>
  <c r="F19" i="5"/>
  <c r="E29" i="1" s="1"/>
  <c r="B37" i="1"/>
  <c r="AF18" i="5" l="1"/>
  <c r="V33" i="1"/>
  <c r="AI33" i="1"/>
  <c r="AF11" i="5"/>
  <c r="AI26" i="1" s="1"/>
  <c r="AG26" i="1"/>
  <c r="AF6" i="5"/>
  <c r="AI21" i="1" s="1"/>
  <c r="AD21" i="1"/>
  <c r="AF5" i="5"/>
  <c r="AI20" i="1" s="1"/>
  <c r="V20" i="1"/>
  <c r="AF12" i="5"/>
  <c r="AI27" i="1" s="1"/>
  <c r="V27" i="1"/>
  <c r="AF8" i="5"/>
  <c r="AI23" i="1" s="1"/>
  <c r="V23" i="1"/>
  <c r="AF7" i="5"/>
  <c r="AI22" i="1" s="1"/>
  <c r="X22" i="1"/>
  <c r="AF9" i="5"/>
  <c r="AI24" i="1" s="1"/>
  <c r="AB24" i="1"/>
  <c r="V29" i="1"/>
  <c r="AF14" i="5"/>
  <c r="AI29" i="1" s="1"/>
  <c r="AF17" i="5"/>
  <c r="AI32" i="1" s="1"/>
  <c r="V32" i="1"/>
  <c r="AF13" i="5"/>
  <c r="AI28" i="1" s="1"/>
  <c r="AG28" i="1"/>
  <c r="AF10" i="5"/>
  <c r="AI25" i="1" s="1"/>
  <c r="V25" i="1"/>
  <c r="AF15" i="5"/>
  <c r="AI30" i="1" s="1"/>
  <c r="V30" i="1"/>
  <c r="AF4" i="5"/>
  <c r="AI19" i="1" s="1"/>
  <c r="V19" i="1"/>
  <c r="AF16" i="5"/>
  <c r="AI31" i="1" s="1"/>
  <c r="D4" i="1"/>
  <c r="O21" i="5" l="1"/>
  <c r="N21" i="5"/>
  <c r="M21" i="5"/>
  <c r="L21" i="5"/>
  <c r="K21" i="5"/>
  <c r="J21" i="5"/>
  <c r="L3" i="5"/>
  <c r="L2" i="5"/>
  <c r="B8" i="1"/>
  <c r="B4" i="1"/>
  <c r="M3" i="5" l="1"/>
  <c r="B12" i="1" s="1"/>
  <c r="B2" i="1"/>
  <c r="D32" i="5" l="1"/>
  <c r="J20" i="1" s="1"/>
  <c r="D33" i="5"/>
  <c r="J21" i="1" s="1"/>
  <c r="D34" i="5"/>
  <c r="J22" i="1" s="1"/>
  <c r="D35" i="5"/>
  <c r="J23" i="1" s="1"/>
  <c r="D36" i="5"/>
  <c r="J24" i="1" s="1"/>
  <c r="D37" i="5"/>
  <c r="J25" i="1" s="1"/>
  <c r="D38" i="5"/>
  <c r="J26" i="1" s="1"/>
  <c r="D39" i="5"/>
  <c r="J27" i="1" s="1"/>
  <c r="D40" i="5"/>
  <c r="J28" i="1" s="1"/>
  <c r="D31" i="5"/>
  <c r="J19" i="1" s="1"/>
  <c r="D10" i="5"/>
  <c r="D11" i="5"/>
  <c r="D12" i="5"/>
  <c r="D13" i="5"/>
  <c r="D14" i="5"/>
  <c r="D15" i="5"/>
  <c r="D16" i="5"/>
  <c r="D17" i="5"/>
  <c r="D18" i="5"/>
  <c r="D9" i="5"/>
  <c r="E14" i="5" l="1"/>
  <c r="F14" i="5"/>
  <c r="G14" i="5"/>
  <c r="E10" i="5"/>
  <c r="F10" i="5"/>
  <c r="G10" i="5"/>
  <c r="E11" i="5"/>
  <c r="F11" i="5"/>
  <c r="G11" i="5"/>
  <c r="E9" i="5"/>
  <c r="F9" i="5"/>
  <c r="G9" i="5"/>
  <c r="E12" i="5"/>
  <c r="F12" i="5"/>
  <c r="G12" i="5"/>
  <c r="D28" i="1"/>
  <c r="G18" i="5"/>
  <c r="F18" i="5"/>
  <c r="E13" i="5"/>
  <c r="F13" i="5"/>
  <c r="G13" i="5"/>
  <c r="E17" i="5"/>
  <c r="G17" i="5"/>
  <c r="F17" i="5"/>
  <c r="E15" i="5"/>
  <c r="F15" i="5"/>
  <c r="G15" i="5"/>
  <c r="E16" i="5"/>
  <c r="G16" i="5"/>
  <c r="F16" i="5"/>
  <c r="G32" i="5"/>
  <c r="L20" i="1" s="1"/>
  <c r="G39" i="5"/>
  <c r="L27" i="1" s="1"/>
  <c r="G33" i="5"/>
  <c r="L21" i="1" s="1"/>
  <c r="F39" i="5"/>
  <c r="K27" i="1" s="1"/>
  <c r="G40" i="5"/>
  <c r="L28" i="1" s="1"/>
  <c r="F40" i="5"/>
  <c r="K28" i="1" s="1"/>
  <c r="E31" i="5"/>
  <c r="M19" i="1" s="1"/>
  <c r="G38" i="5"/>
  <c r="L26" i="1" s="1"/>
  <c r="E40" i="5"/>
  <c r="M28" i="1" s="1"/>
  <c r="F38" i="5"/>
  <c r="K26" i="1" s="1"/>
  <c r="E38" i="5"/>
  <c r="M26" i="1" s="1"/>
  <c r="F37" i="5"/>
  <c r="K25" i="1" s="1"/>
  <c r="F31" i="5"/>
  <c r="K19" i="1" s="1"/>
  <c r="F32" i="5"/>
  <c r="K20" i="1" s="1"/>
  <c r="G37" i="5"/>
  <c r="L25" i="1" s="1"/>
  <c r="E39" i="5"/>
  <c r="M27" i="1" s="1"/>
  <c r="E37" i="5"/>
  <c r="M25" i="1" s="1"/>
  <c r="G36" i="5"/>
  <c r="L24" i="1" s="1"/>
  <c r="E36" i="5"/>
  <c r="M24" i="1" s="1"/>
  <c r="F36" i="5"/>
  <c r="K24" i="1" s="1"/>
  <c r="E35" i="5"/>
  <c r="M23" i="1" s="1"/>
  <c r="G35" i="5"/>
  <c r="L23" i="1" s="1"/>
  <c r="E34" i="5"/>
  <c r="M22" i="1" s="1"/>
  <c r="F35" i="5"/>
  <c r="K23" i="1" s="1"/>
  <c r="E33" i="5"/>
  <c r="M21" i="1" s="1"/>
  <c r="G34" i="5"/>
  <c r="L22" i="1" s="1"/>
  <c r="E32" i="5"/>
  <c r="M20" i="1" s="1"/>
  <c r="F34" i="5"/>
  <c r="K22" i="1" s="1"/>
  <c r="G31" i="5"/>
  <c r="L19" i="1" s="1"/>
  <c r="F33" i="5"/>
  <c r="K21" i="1" s="1"/>
  <c r="D25" i="1"/>
  <c r="E18" i="5"/>
  <c r="D24" i="1"/>
  <c r="D26" i="1"/>
  <c r="D22" i="1"/>
  <c r="D27" i="1"/>
  <c r="D21" i="1"/>
  <c r="D23" i="1"/>
  <c r="D20" i="1"/>
  <c r="C8" i="5"/>
  <c r="D8" i="5" s="1"/>
  <c r="G8" i="5" l="1"/>
  <c r="F8" i="5"/>
  <c r="E8" i="5"/>
  <c r="J3" i="5"/>
  <c r="J4" i="5"/>
  <c r="J5" i="5"/>
  <c r="J2" i="5"/>
  <c r="E3" i="5" l="1"/>
  <c r="E2" i="5"/>
  <c r="F2" i="5" s="1"/>
  <c r="D18" i="1" l="1"/>
  <c r="E28" i="1"/>
  <c r="F27" i="1"/>
  <c r="E26" i="1"/>
  <c r="E25" i="1"/>
  <c r="E24" i="1"/>
  <c r="G19" i="1"/>
  <c r="E20" i="1" l="1"/>
  <c r="I23" i="5"/>
  <c r="E22" i="1"/>
  <c r="I25" i="5"/>
  <c r="E23" i="1"/>
  <c r="I26" i="5"/>
  <c r="F21" i="1"/>
  <c r="I24" i="5"/>
  <c r="E21" i="1"/>
  <c r="F26" i="1"/>
  <c r="F20" i="1"/>
  <c r="G21" i="1"/>
  <c r="G25" i="1"/>
  <c r="F25" i="1"/>
  <c r="F24" i="1"/>
  <c r="G22" i="1"/>
  <c r="G26" i="1"/>
  <c r="E27" i="1"/>
  <c r="F23" i="1"/>
  <c r="G23" i="1"/>
  <c r="G27" i="1"/>
  <c r="F28" i="1"/>
  <c r="F22" i="1"/>
  <c r="G20" i="1"/>
  <c r="G24" i="1"/>
  <c r="G28" i="1"/>
  <c r="G18" i="1"/>
  <c r="I22" i="5"/>
  <c r="G34" i="1" l="1"/>
  <c r="B28" i="1" s="1"/>
  <c r="N22" i="5"/>
  <c r="K22" i="5"/>
  <c r="L22" i="5"/>
  <c r="J22" i="5"/>
  <c r="M22" i="5"/>
  <c r="O22" i="5"/>
  <c r="L24" i="5"/>
  <c r="O24" i="5"/>
  <c r="M24" i="5"/>
  <c r="J24" i="5"/>
  <c r="K24" i="5"/>
  <c r="N24" i="5"/>
  <c r="J26" i="5"/>
  <c r="K26" i="5"/>
  <c r="L26" i="5"/>
  <c r="N26" i="5"/>
  <c r="O26" i="5"/>
  <c r="M26" i="5"/>
  <c r="N25" i="5"/>
  <c r="L25" i="5"/>
  <c r="O25" i="5"/>
  <c r="J25" i="5"/>
  <c r="K25" i="5"/>
  <c r="M25" i="5"/>
  <c r="J23" i="5"/>
  <c r="K23" i="5"/>
  <c r="L23" i="5"/>
  <c r="M23" i="5"/>
  <c r="N23" i="5"/>
  <c r="O23" i="5"/>
  <c r="D19" i="1"/>
  <c r="F3" i="5"/>
  <c r="F19" i="1" l="1"/>
  <c r="F18" i="1"/>
  <c r="F34" i="1" s="1"/>
  <c r="E19" i="1"/>
  <c r="E18" i="1"/>
  <c r="E34" i="1" l="1"/>
  <c r="L34" i="1"/>
  <c r="L18" i="1" s="1"/>
  <c r="I34" i="1" l="1"/>
  <c r="K34" i="1"/>
  <c r="K18" i="1" s="1"/>
  <c r="M34" i="1" l="1"/>
  <c r="M18" i="1" s="1"/>
</calcChain>
</file>

<file path=xl/sharedStrings.xml><?xml version="1.0" encoding="utf-8"?>
<sst xmlns="http://schemas.openxmlformats.org/spreadsheetml/2006/main" count="1197" uniqueCount="78">
  <si>
    <t>Total</t>
  </si>
  <si>
    <t xml:space="preserve">Colonoscopy </t>
  </si>
  <si>
    <t>New Patient</t>
  </si>
  <si>
    <t>Appointment Lag &gt; 14 Days</t>
  </si>
  <si>
    <t>Provider</t>
  </si>
  <si>
    <t>All Other</t>
  </si>
  <si>
    <t>Practice</t>
  </si>
  <si>
    <t>Referral Counts Trending for Top 5 Referring Providers</t>
  </si>
  <si>
    <t>Colonoscopy</t>
  </si>
  <si>
    <t>Average Monthly Referrals</t>
  </si>
  <si>
    <t>YTD</t>
  </si>
  <si>
    <t>Count</t>
  </si>
  <si>
    <t>New Patients</t>
  </si>
  <si>
    <t>OA NewPt - Colonoscopy</t>
  </si>
  <si>
    <t>Re-Establishing</t>
  </si>
  <si>
    <t>Telehealth NP</t>
  </si>
  <si>
    <t>Lag</t>
  </si>
  <si>
    <t>Avg Lag</t>
  </si>
  <si>
    <t>&gt;14 days</t>
  </si>
  <si>
    <t>Avg New Patient Appointment Lag (YTD)</t>
  </si>
  <si>
    <t>Practice Name</t>
  </si>
  <si>
    <t>Practice Not Known</t>
  </si>
  <si>
    <t>Top 5 YTD Practice Referrals</t>
  </si>
  <si>
    <t>*Calculated From Created Date to Appointment Date*</t>
  </si>
  <si>
    <t>Average Monthly Referrals (Last 12 Months)</t>
  </si>
  <si>
    <t>of Referrals From Top 10 Referring Providers</t>
  </si>
  <si>
    <t>Days</t>
  </si>
  <si>
    <t>Top 15 Referring Providers</t>
  </si>
  <si>
    <t>Top 15 Referring Practices</t>
  </si>
  <si>
    <t>Top 15 Referring Providers YTD</t>
  </si>
  <si>
    <t>Top 15 Referring Practices YTD</t>
  </si>
  <si>
    <t>Monthly Referrals by Appointment Type</t>
  </si>
  <si>
    <t>Year Total</t>
  </si>
  <si>
    <t>All Referrals</t>
  </si>
  <si>
    <t>Top 15 Referring Providers 13 Months of Data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</si>
  <si>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</si>
  <si>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</si>
  <si>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</si>
  <si>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</si>
  <si>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</si>
  <si>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</si>
  <si>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</si>
  <si>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</si>
  <si>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</si>
  <si>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</si>
  <si>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</si>
  <si>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</si>
  <si>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</si>
  <si>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Georgia Medical Clinic</t>
  </si>
  <si>
    <t>Maria Jacobson</t>
  </si>
  <si>
    <t>Family Medical Practice</t>
  </si>
  <si>
    <t>Martha Thompson</t>
  </si>
  <si>
    <t>North Georiga Medical Clinic</t>
  </si>
  <si>
    <t>Marcel Hilton</t>
  </si>
  <si>
    <t>East Georgia Medical Practice</t>
  </si>
  <si>
    <t>Larry Brown</t>
  </si>
  <si>
    <t>North Georgia Wellness Center</t>
  </si>
  <si>
    <t>Jenny Cameron</t>
  </si>
  <si>
    <t>Community Health Center</t>
  </si>
  <si>
    <t>Kelly Smith</t>
  </si>
  <si>
    <t>Georgia Medical Partners</t>
  </si>
  <si>
    <t>Donald Holmes</t>
  </si>
  <si>
    <t>South Georgia Family Practice</t>
  </si>
  <si>
    <t>Fredrick Johnson</t>
  </si>
  <si>
    <t>Georgia Urgent Care Center</t>
  </si>
  <si>
    <t>Jerry Smith</t>
  </si>
  <si>
    <t>Emergency Medical Clinic</t>
  </si>
  <si>
    <t>Jessie Williams</t>
  </si>
  <si>
    <t>Central Georigia Medical Practice</t>
  </si>
  <si>
    <t>John Doe</t>
  </si>
  <si>
    <t>Prime Care Medical Center</t>
  </si>
  <si>
    <t>Sabrina Byrd</t>
  </si>
  <si>
    <t>Neighborhood Medical Clinic</t>
  </si>
  <si>
    <t>Mohammad Frye</t>
  </si>
  <si>
    <t>Cornerstone Clinic</t>
  </si>
  <si>
    <t>Anna Stewart</t>
  </si>
  <si>
    <t>Georgia Healthcare Center</t>
  </si>
  <si>
    <t>Frank Fredson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</si>
</sst>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.00"/>
    <numFmt numFmtId="165" formatCode="0.0"/>
    <numFmt numFmtId="166" formatCode="_(* #,##0_);_(* \(#,##0\);_(* &quot;-&quot;??_);_(@_)"/>
    <numFmt numFmtId="167" formatCode="0.0%"/>
  </numFmts>
  <fonts count="3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24"/>
      <color theme="0"/>
      <name val="Arial"/>
      <family val="2"/>
    </font>
    <font>
      <b/>
      <sz val="22"/>
      <color theme="0"/>
      <name val="Arial"/>
      <family val="2"/>
    </font>
    <font>
      <sz val="18"/>
      <color theme="1"/>
      <name val="Arial"/>
      <family val="2"/>
    </font>
    <font>
      <sz val="18"/>
      <color theme="0"/>
      <name val="Arial"/>
      <family val="2"/>
    </font>
    <font>
      <sz val="18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26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0"/>
      <name val="Arial"/>
      <family val="2"/>
    </font>
    <font>
      <b/>
      <sz val="11"/>
      <name val="Arial"/>
      <family val="2"/>
    </font>
    <font>
      <b/>
      <sz val="14"/>
      <color theme="0"/>
      <name val="Arial"/>
      <family val="2"/>
    </font>
    <font>
      <b/>
      <sz val="14"/>
      <color rgb="FFD3CDC6"/>
      <name val="Arial"/>
      <family val="2"/>
    </font>
    <font>
      <sz val="14"/>
      <color theme="0"/>
      <name val="Arial"/>
      <family val="2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b/>
      <sz val="40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2"/>
      <color theme="0"/>
      <name val="Arial"/>
      <family val="2"/>
    </font>
    <font>
      <b/>
      <sz val="10"/>
      <color theme="9" tint="-0.249977111117893"/>
      <name val="Tahoma"/>
      <family val="2"/>
    </font>
    <font>
      <sz val="10"/>
      <color theme="9" tint="-0.249977111117893"/>
      <name val="Tahoma"/>
      <family val="2"/>
    </font>
    <font>
      <b/>
      <sz val="36"/>
      <color theme="0"/>
      <name val="Arial"/>
      <family val="2"/>
    </font>
    <font>
      <b/>
      <sz val="28"/>
      <color theme="0"/>
      <name val="Arial"/>
      <family val="2"/>
    </font>
    <font>
      <b/>
      <sz val="16"/>
      <color theme="0"/>
      <name val="Arial"/>
      <family val="2"/>
    </font>
    <font>
      <b/>
      <sz val="26"/>
      <color theme="0"/>
      <name val="Arial"/>
      <family val="2"/>
    </font>
    <font>
      <sz val="16"/>
      <name val="Arial"/>
      <family val="2"/>
    </font>
    <font>
      <b/>
      <sz val="15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auto="1"/>
      </patternFill>
    </fill>
    <fill>
      <gradientFill degree="180">
        <stop position="0">
          <color rgb="FF8BA96B"/>
        </stop>
        <stop position="1">
          <color theme="9" tint="-0.49803155613879818"/>
        </stop>
      </gradientFill>
    </fill>
    <fill>
      <gradientFill>
        <stop position="0">
          <color theme="9" tint="-0.49803155613879818"/>
        </stop>
        <stop position="1">
          <color rgb="FF8BA96B"/>
        </stop>
      </gradientFill>
    </fill>
  </fills>
  <borders count="5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15" fillId="2" borderId="0" xfId="0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7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10" fontId="12" fillId="4" borderId="0" xfId="0" applyNumberFormat="1" applyFont="1" applyFill="1" applyAlignment="1">
      <alignment vertical="center"/>
    </xf>
    <xf numFmtId="10" fontId="9" fillId="4" borderId="0" xfId="0" applyNumberFormat="1" applyFont="1" applyFill="1" applyAlignment="1">
      <alignment vertical="center"/>
    </xf>
    <xf numFmtId="0" fontId="22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10" fontId="9" fillId="2" borderId="0" xfId="0" applyNumberFormat="1" applyFont="1" applyFill="1" applyAlignment="1">
      <alignment vertical="center"/>
    </xf>
    <xf numFmtId="10" fontId="12" fillId="2" borderId="0" xfId="0" applyNumberFormat="1" applyFont="1" applyFill="1" applyAlignment="1">
      <alignment vertical="center"/>
    </xf>
    <xf numFmtId="0" fontId="2" fillId="4" borderId="0" xfId="0" applyFont="1" applyFill="1"/>
    <xf numFmtId="0" fontId="2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4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3" fontId="14" fillId="2" borderId="0" xfId="0" applyNumberFormat="1" applyFont="1" applyFill="1" applyAlignment="1">
      <alignment horizontal="center" vertical="center"/>
    </xf>
    <xf numFmtId="166" fontId="20" fillId="2" borderId="0" xfId="1" applyNumberFormat="1" applyFont="1" applyFill="1" applyAlignment="1">
      <alignment horizontal="left" vertical="center" indent="2"/>
    </xf>
    <xf numFmtId="166" fontId="14" fillId="2" borderId="0" xfId="1" applyNumberFormat="1" applyFont="1" applyFill="1" applyAlignment="1">
      <alignment horizontal="left" vertical="center" indent="2"/>
    </xf>
    <xf numFmtId="0" fontId="7" fillId="5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 indent="1"/>
    </xf>
    <xf numFmtId="3" fontId="14" fillId="3" borderId="0" xfId="0" applyNumberFormat="1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 indent="1"/>
    </xf>
    <xf numFmtId="3" fontId="20" fillId="3" borderId="0" xfId="0" applyNumberFormat="1" applyFont="1" applyFill="1" applyAlignment="1">
      <alignment horizontal="left" vertical="center"/>
    </xf>
    <xf numFmtId="3" fontId="20" fillId="3" borderId="0" xfId="1" applyNumberFormat="1" applyFont="1" applyFill="1" applyBorder="1" applyAlignment="1">
      <alignment horizontal="left" vertical="center"/>
    </xf>
    <xf numFmtId="3" fontId="14" fillId="3" borderId="0" xfId="1" applyNumberFormat="1" applyFont="1" applyFill="1" applyBorder="1" applyAlignment="1">
      <alignment horizontal="left" vertical="center"/>
    </xf>
    <xf numFmtId="3" fontId="20" fillId="3" borderId="1" xfId="0" applyNumberFormat="1" applyFont="1" applyFill="1" applyBorder="1" applyAlignment="1">
      <alignment horizontal="left" vertical="center"/>
    </xf>
    <xf numFmtId="3" fontId="20" fillId="3" borderId="2" xfId="0" applyNumberFormat="1" applyFont="1" applyFill="1" applyBorder="1" applyAlignment="1">
      <alignment horizontal="left" vertical="center"/>
    </xf>
    <xf numFmtId="14" fontId="0" fillId="0" borderId="0" xfId="0" applyNumberFormat="1"/>
    <xf numFmtId="43" fontId="0" fillId="0" borderId="0" xfId="1" applyFont="1"/>
    <xf numFmtId="0" fontId="26" fillId="0" borderId="0" xfId="0" applyFont="1"/>
    <xf numFmtId="0" fontId="25" fillId="0" borderId="0" xfId="0" applyFont="1"/>
    <xf numFmtId="9" fontId="0" fillId="0" borderId="0" xfId="0" applyNumberFormat="1"/>
    <xf numFmtId="167" fontId="0" fillId="0" borderId="0" xfId="2" applyNumberFormat="1" applyFont="1"/>
    <xf numFmtId="0" fontId="25" fillId="0" borderId="0" xfId="0" applyFont="1" applyAlignment="1">
      <alignment horizontal="center"/>
    </xf>
    <xf numFmtId="10" fontId="12" fillId="4" borderId="0" xfId="0" applyNumberFormat="1" applyFont="1" applyFill="1" applyAlignment="1">
      <alignment horizontal="center" vertical="center"/>
    </xf>
    <xf numFmtId="3" fontId="22" fillId="4" borderId="0" xfId="0" applyNumberFormat="1" applyFont="1" applyFill="1" applyAlignment="1">
      <alignment horizontal="center" vertical="center"/>
    </xf>
    <xf numFmtId="3" fontId="22" fillId="4" borderId="0" xfId="0" applyNumberFormat="1" applyFont="1" applyFill="1" applyAlignment="1">
      <alignment horizontal="right" indent="1"/>
    </xf>
    <xf numFmtId="14" fontId="14" fillId="3" borderId="3" xfId="0" applyNumberFormat="1" applyFont="1" applyFill="1" applyBorder="1" applyAlignment="1">
      <alignment horizontal="center" vertical="center"/>
    </xf>
    <xf numFmtId="3" fontId="20" fillId="3" borderId="3" xfId="1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13" fillId="7" borderId="0" xfId="0" applyFont="1" applyFill="1" applyAlignment="1">
      <alignment vertical="top" wrapText="1"/>
    </xf>
    <xf numFmtId="37" fontId="15" fillId="7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37" fontId="30" fillId="7" borderId="0" xfId="1" applyNumberFormat="1" applyFont="1" applyFill="1" applyAlignment="1">
      <alignment horizontal="center" vertical="top" wrapText="1"/>
    </xf>
    <xf numFmtId="0" fontId="29" fillId="7" borderId="0" xfId="0" applyFont="1" applyFill="1" applyAlignment="1">
      <alignment horizontal="center" vertical="top" wrapText="1"/>
    </xf>
    <xf numFmtId="0" fontId="15" fillId="7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3" fontId="22" fillId="4" borderId="0" xfId="0" applyNumberFormat="1" applyFont="1" applyFill="1" applyAlignment="1">
      <alignment horizontal="right" indent="1"/>
    </xf>
    <xf numFmtId="0" fontId="22" fillId="4" borderId="0" xfId="0" applyFont="1" applyFill="1" applyAlignment="1">
      <alignment horizontal="right" indent="1"/>
    </xf>
    <xf numFmtId="10" fontId="12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 indent="1"/>
    </xf>
    <xf numFmtId="0" fontId="22" fillId="4" borderId="0" xfId="0" applyFont="1" applyFill="1" applyAlignment="1">
      <alignment horizontal="right" vertical="center" indent="1"/>
    </xf>
    <xf numFmtId="10" fontId="9" fillId="4" borderId="0" xfId="0" applyNumberFormat="1" applyFont="1" applyFill="1" applyAlignment="1">
      <alignment horizontal="center" vertical="center"/>
    </xf>
    <xf numFmtId="165" fontId="27" fillId="7" borderId="0" xfId="0" applyNumberFormat="1" applyFont="1" applyFill="1" applyAlignment="1">
      <alignment horizontal="left" vertical="top" indent="1"/>
    </xf>
    <xf numFmtId="165" fontId="30" fillId="7" borderId="0" xfId="0" applyNumberFormat="1" applyFont="1" applyFill="1" applyAlignment="1">
      <alignment horizontal="left" vertical="top" indent="1"/>
    </xf>
    <xf numFmtId="0" fontId="13" fillId="7" borderId="0" xfId="0" applyFont="1" applyFill="1" applyAlignment="1">
      <alignment horizontal="center" vertical="top" wrapText="1"/>
    </xf>
    <xf numFmtId="9" fontId="21" fillId="7" borderId="0" xfId="0" applyNumberFormat="1" applyFont="1" applyFill="1" applyAlignment="1">
      <alignment horizontal="left" vertical="top" indent="1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37" fontId="27" fillId="7" borderId="0" xfId="1" applyNumberFormat="1" applyFont="1" applyFill="1" applyAlignment="1">
      <alignment horizontal="center" vertical="center"/>
    </xf>
    <xf numFmtId="0" fontId="13" fillId="7" borderId="0" xfId="1" applyNumberFormat="1" applyFont="1" applyFill="1" applyAlignment="1">
      <alignment horizontal="center" vertical="top" wrapText="1"/>
    </xf>
    <xf numFmtId="0" fontId="4" fillId="6" borderId="0" xfId="0" applyFont="1" applyFill="1" applyAlignment="1">
      <alignment horizontal="left" vertical="center"/>
    </xf>
    <xf numFmtId="0" fontId="9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 wrapText="1"/>
    </xf>
    <xf numFmtId="37" fontId="27" fillId="7" borderId="0" xfId="1" applyNumberFormat="1" applyFont="1" applyFill="1" applyAlignment="1">
      <alignment horizontal="center" vertical="top"/>
    </xf>
    <xf numFmtId="37" fontId="32" fillId="7" borderId="0" xfId="1" applyNumberFormat="1" applyFont="1" applyFill="1" applyAlignment="1">
      <alignment horizontal="center" vertical="center" wrapText="1"/>
    </xf>
    <xf numFmtId="37" fontId="28" fillId="7" borderId="0" xfId="1" applyNumberFormat="1" applyFont="1" applyFill="1" applyAlignment="1">
      <alignment horizontal="center" vertical="top"/>
    </xf>
    <xf numFmtId="0" fontId="32" fillId="7" borderId="0" xfId="0" applyFont="1" applyFill="1" applyAlignment="1">
      <alignment horizontal="center" vertical="top" wrapText="1"/>
    </xf>
    <xf numFmtId="0" fontId="7" fillId="7" borderId="4" xfId="0" applyFont="1" applyFill="1" applyBorder="1" applyAlignment="1">
      <alignment horizontal="left" vertical="center"/>
    </xf>
    <xf numFmtId="0" fontId="2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7B9959"/>
      <color rgb="FF8FC36B"/>
      <color rgb="FFD9D9D9"/>
      <color rgb="FF9ECB7F"/>
      <color rgb="FF84A361"/>
      <color rgb="FFE0E8D8"/>
      <color rgb="FFBDCEAA"/>
      <color rgb="FFA4BC8A"/>
      <color rgb="FFC3DEB0"/>
      <color rgb="FF8BA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/>
              <a:t>New Patient</a:t>
            </a:r>
          </a:p>
        </c:rich>
      </c:tx>
      <c:layout>
        <c:manualLayout>
          <c:xMode val="edge"/>
          <c:yMode val="edge"/>
          <c:x val="0.11817728648876998"/>
          <c:y val="5.163474187610074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9039078448528"/>
          <c:y val="0.17992350552412442"/>
          <c:w val="0.7034981955380577"/>
          <c:h val="0.77910971088237124"/>
        </c:manualLayout>
      </c:layout>
      <c:doughnutChart>
        <c:varyColors val="1"/>
        <c:ser>
          <c:idx val="0"/>
          <c:order val="0"/>
          <c:tx>
            <c:strRef>
              <c:f>calcs!$D$2</c:f>
              <c:strCache>
                <c:ptCount val="1"/>
                <c:pt idx="0">
                  <c:v>New Patient</c:v>
                </c:pt>
              </c:strCache>
            </c:strRef>
          </c:tx>
          <c:dPt>
            <c:idx val="0"/>
            <c:bubble3D val="0"/>
            <c:spPr>
              <a:solidFill>
                <a:srgbClr val="8BA96B"/>
              </a:solidFill>
              <a:ln w="76200" cap="rnd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C8-447A-A696-04AB81E1C893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762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C8-447A-A696-04AB81E1C893}"/>
              </c:ext>
            </c:extLst>
          </c:dPt>
          <c:dLbls>
            <c:dLbl>
              <c:idx val="0"/>
              <c:layout>
                <c:manualLayout>
                  <c:x val="-8.0318235353234874E-3"/>
                  <c:y val="0.1798821059509110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none" lIns="38100" tIns="19050" rIns="38100" bIns="19050" anchor="ctr" anchorCtr="1">
                  <a:noAutofit/>
                </a:bodyPr>
                <a:lstStyle/>
                <a:p>
                  <a:pPr>
                    <a:defRPr sz="2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97852063809677603"/>
                      <c:h val="0.857403501804495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7C8-447A-A696-04AB81E1C89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C8-447A-A696-04AB81E1C89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calcs!$E$2:$F$2</c:f>
              <c:numCache>
                <c:formatCode>0%</c:formatCode>
                <c:ptCount val="2"/>
                <c:pt idx="0" formatCode="0.0%">
                  <c:v>0.37692307692307692</c:v>
                </c:pt>
                <c:pt idx="1">
                  <c:v>0.62307692307692308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C8-447A-A696-04AB81E1C8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531353135313537E-2"/>
          <c:y val="4.0560796237104027E-2"/>
          <c:w val="0.77475247524752477"/>
          <c:h val="0.824587718614381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calcs!$I$22</c:f>
              <c:strCache>
                <c:ptCount val="1"/>
                <c:pt idx="0">
                  <c:v>Marcel Hilton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635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numRef>
              <c:f>calcs!$J$21:$O$21</c:f>
              <c:numCache>
                <c:formatCode>m/d/yyyy</c:formatCode>
                <c:ptCount val="6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</c:numCache>
            </c:numRef>
          </c:cat>
          <c:val>
            <c:numRef>
              <c:f>calcs!$J$22:$O$22</c:f>
              <c:numCache>
                <c:formatCode>General</c:formatCode>
                <c:ptCount val="6"/>
                <c:pt idx="0">
                  <c:v>21</c:v>
                </c:pt>
                <c:pt idx="1">
                  <c:v>34</c:v>
                </c:pt>
                <c:pt idx="2">
                  <c:v>33</c:v>
                </c:pt>
                <c:pt idx="3">
                  <c:v>31</c:v>
                </c:pt>
                <c:pt idx="4">
                  <c:v>27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0-4729-8BE8-A79ABECCB87D}"/>
            </c:ext>
          </c:extLst>
        </c:ser>
        <c:ser>
          <c:idx val="1"/>
          <c:order val="1"/>
          <c:tx>
            <c:strRef>
              <c:f>calcs!$I$23</c:f>
              <c:strCache>
                <c:ptCount val="1"/>
                <c:pt idx="0">
                  <c:v>Anna Stewart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3175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numRef>
              <c:f>calcs!$J$21:$O$21</c:f>
              <c:numCache>
                <c:formatCode>m/d/yyyy</c:formatCode>
                <c:ptCount val="6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</c:numCache>
            </c:numRef>
          </c:cat>
          <c:val>
            <c:numRef>
              <c:f>calcs!$J$23:$O$23</c:f>
              <c:numCache>
                <c:formatCode>General</c:formatCode>
                <c:ptCount val="6"/>
                <c:pt idx="0">
                  <c:v>18</c:v>
                </c:pt>
                <c:pt idx="1">
                  <c:v>17</c:v>
                </c:pt>
                <c:pt idx="2">
                  <c:v>12</c:v>
                </c:pt>
                <c:pt idx="3">
                  <c:v>15</c:v>
                </c:pt>
                <c:pt idx="4">
                  <c:v>13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0-4729-8BE8-A79ABECCB87D}"/>
            </c:ext>
          </c:extLst>
        </c:ser>
        <c:ser>
          <c:idx val="5"/>
          <c:order val="2"/>
          <c:tx>
            <c:strRef>
              <c:f>calcs!$I$24</c:f>
              <c:strCache>
                <c:ptCount val="1"/>
                <c:pt idx="0">
                  <c:v>Mohammad Frye</c:v>
                </c:pt>
              </c:strCache>
            </c:strRef>
          </c:tx>
          <c:spPr>
            <a:solidFill>
              <a:srgbClr val="8BA96B"/>
            </a:solidFill>
            <a:ln w="635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numRef>
              <c:f>calcs!$J$21:$O$21</c:f>
              <c:numCache>
                <c:formatCode>m/d/yyyy</c:formatCode>
                <c:ptCount val="6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</c:numCache>
            </c:numRef>
          </c:cat>
          <c:val>
            <c:numRef>
              <c:f>calcs!$J$24:$O$24</c:f>
              <c:numCache>
                <c:formatCode>General</c:formatCode>
                <c:ptCount val="6"/>
                <c:pt idx="0">
                  <c:v>19</c:v>
                </c:pt>
                <c:pt idx="1">
                  <c:v>12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D0-4729-8BE8-A79ABECCB87D}"/>
            </c:ext>
          </c:extLst>
        </c:ser>
        <c:ser>
          <c:idx val="4"/>
          <c:order val="3"/>
          <c:tx>
            <c:strRef>
              <c:f>calcs!$I$25</c:f>
              <c:strCache>
                <c:ptCount val="1"/>
                <c:pt idx="0">
                  <c:v>Jerry Smith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3175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numRef>
              <c:f>calcs!$J$21:$O$21</c:f>
              <c:numCache>
                <c:formatCode>m/d/yyyy</c:formatCode>
                <c:ptCount val="6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</c:numCache>
            </c:numRef>
          </c:cat>
          <c:val>
            <c:numRef>
              <c:f>calcs!$J$25:$O$25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14</c:v>
                </c:pt>
                <c:pt idx="3">
                  <c:v>18</c:v>
                </c:pt>
                <c:pt idx="4">
                  <c:v>12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D0-4729-8BE8-A79ABECCB87D}"/>
            </c:ext>
          </c:extLst>
        </c:ser>
        <c:ser>
          <c:idx val="3"/>
          <c:order val="4"/>
          <c:tx>
            <c:strRef>
              <c:f>calcs!$I$26</c:f>
              <c:strCache>
                <c:ptCount val="1"/>
                <c:pt idx="0">
                  <c:v>Sabrina Byrd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 w="3175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numRef>
              <c:f>calcs!$J$21:$O$21</c:f>
              <c:numCache>
                <c:formatCode>m/d/yyyy</c:formatCode>
                <c:ptCount val="6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</c:numCache>
            </c:numRef>
          </c:cat>
          <c:val>
            <c:numRef>
              <c:f>calcs!$J$26:$O$26</c:f>
              <c:numCache>
                <c:formatCode>General</c:formatCode>
                <c:ptCount val="6"/>
                <c:pt idx="0">
                  <c:v>16</c:v>
                </c:pt>
                <c:pt idx="1">
                  <c:v>12</c:v>
                </c:pt>
                <c:pt idx="2">
                  <c:v>13</c:v>
                </c:pt>
                <c:pt idx="3">
                  <c:v>22</c:v>
                </c:pt>
                <c:pt idx="4">
                  <c:v>13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D0-4729-8BE8-A79ABECCB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569040"/>
        <c:axId val="939571120"/>
      </c:barChart>
      <c:dateAx>
        <c:axId val="93956904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9571120"/>
        <c:crosses val="autoZero"/>
        <c:auto val="1"/>
        <c:lblOffset val="100"/>
        <c:baseTimeUnit val="months"/>
      </c:dateAx>
      <c:valAx>
        <c:axId val="9395711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956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24869912215571"/>
          <c:y val="6.1049354124852039E-2"/>
          <c:w val="0.16402030072201393"/>
          <c:h val="0.897703282139237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853245707809526"/>
          <c:y val="1.0397357046787062E-2"/>
          <c:w val="0.49282060555889617"/>
          <c:h val="0.9792052859064258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8BA96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BA9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3C-4A9B-9D06-B27255E87330}"/>
              </c:ext>
            </c:extLst>
          </c:dPt>
          <c:dPt>
            <c:idx val="1"/>
            <c:invertIfNegative val="0"/>
            <c:bubble3D val="0"/>
            <c:spPr>
              <a:solidFill>
                <a:srgbClr val="8BA9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3C-4A9B-9D06-B27255E87330}"/>
              </c:ext>
            </c:extLst>
          </c:dPt>
          <c:dPt>
            <c:idx val="2"/>
            <c:invertIfNegative val="0"/>
            <c:bubble3D val="0"/>
            <c:spPr>
              <a:solidFill>
                <a:srgbClr val="8BA9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3C-4A9B-9D06-B27255E87330}"/>
              </c:ext>
            </c:extLst>
          </c:dPt>
          <c:dPt>
            <c:idx val="3"/>
            <c:invertIfNegative val="0"/>
            <c:bubble3D val="0"/>
            <c:spPr>
              <a:solidFill>
                <a:srgbClr val="8BA9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B3C-4A9B-9D06-B27255E87330}"/>
              </c:ext>
            </c:extLst>
          </c:dPt>
          <c:dPt>
            <c:idx val="4"/>
            <c:invertIfNegative val="0"/>
            <c:bubble3D val="0"/>
            <c:spPr>
              <a:solidFill>
                <a:srgbClr val="8BA9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B3C-4A9B-9D06-B27255E87330}"/>
              </c:ext>
            </c:extLst>
          </c:dPt>
          <c:dPt>
            <c:idx val="5"/>
            <c:invertIfNegative val="0"/>
            <c:bubble3D val="0"/>
            <c:spPr>
              <a:solidFill>
                <a:srgbClr val="8BA9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B3C-4A9B-9D06-B27255E87330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Staging Lag'!$D$7:$D$10</c:f>
              <c:strCache>
                <c:ptCount val="4"/>
                <c:pt idx="0">
                  <c:v>New Patients</c:v>
                </c:pt>
                <c:pt idx="1">
                  <c:v>OA NewPt - Colonoscopy</c:v>
                </c:pt>
                <c:pt idx="2">
                  <c:v>Re-Establishing</c:v>
                </c:pt>
                <c:pt idx="3">
                  <c:v>Telehealth NP</c:v>
                </c:pt>
              </c:strCache>
            </c:strRef>
          </c:cat>
          <c:val>
            <c:numRef>
              <c:f>'Data Staging Lag'!$Q$7:$Q$10</c:f>
              <c:numCache>
                <c:formatCode>General</c:formatCode>
                <c:ptCount val="4"/>
                <c:pt idx="0">
                  <c:v>130</c:v>
                </c:pt>
                <c:pt idx="1">
                  <c:v>115</c:v>
                </c:pt>
                <c:pt idx="2">
                  <c:v>121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B3C-4A9B-9D06-B27255E87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00145408"/>
        <c:axId val="400141248"/>
      </c:barChart>
      <c:valAx>
        <c:axId val="400141248"/>
        <c:scaling>
          <c:orientation val="minMax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400145408"/>
        <c:crosses val="autoZero"/>
        <c:crossBetween val="between"/>
      </c:valAx>
      <c:catAx>
        <c:axId val="400145408"/>
        <c:scaling>
          <c:orientation val="maxMin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0141248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46663055901342"/>
          <c:y val="0.10183995890552469"/>
          <c:w val="0.59183016604199845"/>
          <c:h val="0.65734886860475483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calcs!$I$2</c:f>
              <c:strCache>
                <c:ptCount val="1"/>
                <c:pt idx="0">
                  <c:v>New Patient</c:v>
                </c:pt>
              </c:strCache>
            </c:strRef>
          </c:tx>
          <c:spPr>
            <a:solidFill>
              <a:srgbClr val="8BA96B"/>
            </a:solidFill>
            <a:ln w="254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8.2352915747131161E-3"/>
                  <c:y val="-0.28000000000000003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E7-40FF-9C77-95DC5BEC7A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YTD</c:v>
              </c:pt>
            </c:strLit>
          </c:cat>
          <c:val>
            <c:numRef>
              <c:f>calcs!$J$2</c:f>
              <c:numCache>
                <c:formatCode>_(* #,##0.00_);_(* \(#,##0.00\);_(* "-"??_);_(@_)</c:formatCode>
                <c:ptCount val="1"/>
                <c:pt idx="0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C-4429-A9FA-41A1805021E5}"/>
            </c:ext>
          </c:extLst>
        </c:ser>
        <c:ser>
          <c:idx val="0"/>
          <c:order val="1"/>
          <c:tx>
            <c:strRef>
              <c:f>calcs!$I$3</c:f>
              <c:strCache>
                <c:ptCount val="1"/>
                <c:pt idx="0">
                  <c:v>Colonoscopy</c:v>
                </c:pt>
              </c:strCache>
            </c:strRef>
          </c:tx>
          <c:spPr>
            <a:solidFill>
              <a:srgbClr val="A9D08E"/>
            </a:solidFill>
            <a:ln w="254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5.4901943831420774E-2"/>
                  <c:y val="-0.276666666666666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26063509012348"/>
                      <c:h val="0.126566929133858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2E7-40FF-9C77-95DC5BEC7A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YTD</c:v>
              </c:pt>
            </c:strLit>
          </c:cat>
          <c:val>
            <c:numRef>
              <c:f>calcs!$J$3</c:f>
              <c:numCache>
                <c:formatCode>_(* #,##0.00_);_(* \(#,##0.00\);_(* "-"??_);_(@_)</c:formatCode>
                <c:ptCount val="1"/>
                <c:pt idx="0">
                  <c:v>113.58333333333333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C-4429-A9FA-41A1805021E5}"/>
            </c:ext>
          </c:extLst>
        </c:ser>
        <c:ser>
          <c:idx val="2"/>
          <c:order val="2"/>
          <c:tx>
            <c:strRef>
              <c:f>calcs!$I$4</c:f>
              <c:strCache>
                <c:ptCount val="1"/>
                <c:pt idx="0">
                  <c:v>Re-Establishing</c:v>
                </c:pt>
              </c:strCache>
            </c:strRef>
          </c:tx>
          <c:spPr>
            <a:solidFill>
              <a:srgbClr val="E7E6E6">
                <a:lumMod val="90000"/>
              </a:srgb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7E6E6">
                  <a:lumMod val="90000"/>
                </a:srgbClr>
              </a:solidFill>
              <a:ln w="19050">
                <a:solidFill>
                  <a:sysClr val="window" lastClr="FFFFFF">
                    <a:lumMod val="9500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3D-4244-A32B-1AA8BF85177B}"/>
              </c:ext>
            </c:extLst>
          </c:dPt>
          <c:dLbls>
            <c:dLbl>
              <c:idx val="0"/>
              <c:layout>
                <c:manualLayout>
                  <c:x val="5.2156846639849735E-2"/>
                  <c:y val="-0.2733333333333333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3D-4244-A32B-1AA8BF8517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calcs!$J$4</c:f>
              <c:numCache>
                <c:formatCode>_(* #,##0.00_);_(* \(#,##0.00\);_(* "-"??_);_(@_)</c:formatCode>
                <c:ptCount val="1"/>
                <c:pt idx="0">
                  <c:v>122.08333333333333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7-4852-ABC5-7EA4BCABCD35}"/>
            </c:ext>
          </c:extLst>
        </c:ser>
        <c:ser>
          <c:idx val="3"/>
          <c:order val="3"/>
          <c:tx>
            <c:strRef>
              <c:f>calcs!$I$5</c:f>
              <c:strCache>
                <c:ptCount val="1"/>
                <c:pt idx="0">
                  <c:v>Telehealth NP</c:v>
                </c:pt>
              </c:strCache>
            </c:strRef>
          </c:tx>
          <c:spPr>
            <a:solidFill>
              <a:sysClr val="windowText" lastClr="000000">
                <a:lumMod val="50000"/>
                <a:lumOff val="50000"/>
              </a:sys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7.9607818555560012E-2"/>
                  <c:y val="-3.33333333333333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E7-40FF-9C77-95DC5BEC7A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calcs!$J$5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7-4852-ABC5-7EA4BCABC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9224368"/>
        <c:axId val="573273391"/>
      </c:barChart>
      <c:valAx>
        <c:axId val="5732733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crossAx val="769224368"/>
        <c:crosses val="autoZero"/>
        <c:crossBetween val="between"/>
      </c:valAx>
      <c:catAx>
        <c:axId val="76922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3273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74745864670111306"/>
          <c:y val="0.11894936694806423"/>
          <c:w val="0.25254135329888694"/>
          <c:h val="0.820618982940087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214480634089473"/>
          <c:y val="0.10276840556955501"/>
          <c:w val="0.69056954729294062"/>
          <c:h val="0.5702860398188630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84A3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F5-463F-8C76-32A09BFD0EEE}"/>
              </c:ext>
            </c:extLst>
          </c:dPt>
          <c:dPt>
            <c:idx val="1"/>
            <c:bubble3D val="0"/>
            <c:spPr>
              <a:solidFill>
                <a:srgbClr val="8FC3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F5-463F-8C76-32A09BFD0EEE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F5-463F-8C76-32A09BFD0EEE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F5-463F-8C76-32A09BFD0EEE}"/>
              </c:ext>
            </c:extLst>
          </c:dPt>
          <c:dPt>
            <c:idx val="4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F5-463F-8C76-32A09BFD0EEE}"/>
              </c:ext>
            </c:extLst>
          </c:dPt>
          <c:dPt>
            <c:idx val="5"/>
            <c:bubble3D val="0"/>
            <c:spPr>
              <a:solidFill>
                <a:srgbClr val="6699FF">
                  <a:alpha val="1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F5-463F-8C76-32A09BFD0EEE}"/>
              </c:ext>
            </c:extLst>
          </c:dPt>
          <c:dLbls>
            <c:dLbl>
              <c:idx val="1"/>
              <c:layout>
                <c:manualLayout>
                  <c:x val="-7.780067894875968E-2"/>
                  <c:y val="-0.1549323443024071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numCol="1" spcCol="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173193500396507"/>
                      <c:h val="0.166064356476101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0F5-463F-8C76-32A09BFD0E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calcs!$D$31:$D$35</c:f>
              <c:strCache>
                <c:ptCount val="5"/>
                <c:pt idx="0">
                  <c:v>North Georiga Medical Clinic</c:v>
                </c:pt>
                <c:pt idx="1">
                  <c:v>Cornerstone Clinic</c:v>
                </c:pt>
                <c:pt idx="2">
                  <c:v>Neighborhood Medical Clinic</c:v>
                </c:pt>
                <c:pt idx="3">
                  <c:v>Georgia Urgent Care Center</c:v>
                </c:pt>
                <c:pt idx="4">
                  <c:v>Prime Care Medical Center</c:v>
                </c:pt>
              </c:strCache>
            </c:strRef>
          </c:cat>
          <c:val>
            <c:numRef>
              <c:f>calcs!$E$31:$E$35</c:f>
              <c:numCache>
                <c:formatCode>General</c:formatCode>
                <c:ptCount val="5"/>
                <c:pt idx="0">
                  <c:v>317</c:v>
                </c:pt>
                <c:pt idx="1">
                  <c:v>164</c:v>
                </c:pt>
                <c:pt idx="2">
                  <c:v>158</c:v>
                </c:pt>
                <c:pt idx="3">
                  <c:v>154</c:v>
                </c:pt>
                <c:pt idx="4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0F5-463F-8C76-32A09BFD0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142886460323341E-3"/>
          <c:y val="0.73446558659455297"/>
          <c:w val="0.8308597924559683"/>
          <c:h val="0.211044546436726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Colonoscopy</a:t>
            </a:r>
          </a:p>
        </c:rich>
      </c:tx>
      <c:layout>
        <c:manualLayout>
          <c:xMode val="edge"/>
          <c:yMode val="edge"/>
          <c:x val="0.11100690966619275"/>
          <c:y val="5.16340277477517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9039078448528"/>
          <c:y val="0.17992350552412442"/>
          <c:w val="0.7034981955380577"/>
          <c:h val="0.77910971088237124"/>
        </c:manualLayout>
      </c:layout>
      <c:doughnutChart>
        <c:varyColors val="1"/>
        <c:ser>
          <c:idx val="0"/>
          <c:order val="0"/>
          <c:tx>
            <c:strRef>
              <c:f>calcs!$D$3</c:f>
              <c:strCache>
                <c:ptCount val="1"/>
                <c:pt idx="0">
                  <c:v>Colonoscopy</c:v>
                </c:pt>
              </c:strCache>
            </c:strRef>
          </c:tx>
          <c:dPt>
            <c:idx val="0"/>
            <c:bubble3D val="0"/>
            <c:spPr>
              <a:solidFill>
                <a:srgbClr val="7B995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9B-4788-8E78-8C85AD4140D3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9B-4788-8E78-8C85AD4140D3}"/>
              </c:ext>
            </c:extLst>
          </c:dPt>
          <c:dLbls>
            <c:dLbl>
              <c:idx val="0"/>
              <c:layout>
                <c:manualLayout>
                  <c:x val="-1.8338527996500438E-2"/>
                  <c:y val="4.31669468504585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98166154944098205"/>
                      <c:h val="0.848655663008566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89B-4788-8E78-8C85AD4140D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9B-4788-8E78-8C85AD4140D3}"/>
                </c:ext>
              </c:extLst>
            </c:dLbl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calcs!$E$3:$F$3</c:f>
              <c:numCache>
                <c:formatCode>0%</c:formatCode>
                <c:ptCount val="2"/>
                <c:pt idx="0" formatCode="0.0%">
                  <c:v>0.41739130434782606</c:v>
                </c:pt>
                <c:pt idx="1">
                  <c:v>0.58260869565217388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9B-4788-8E78-8C85AD4140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solidFill>
                  <a:sysClr val="windowText" lastClr="000000"/>
                </a:solidFill>
              </a:rPr>
              <a:t>Total Completed Referrals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38100" cap="flat" cmpd="sng" algn="ctr">
                <a:solidFill>
                  <a:schemeClr val="accent6"/>
                </a:solidFill>
                <a:round/>
              </a:ln>
              <a:effectLst/>
            </c:spPr>
          </c:marker>
          <c:dLbls>
            <c:dLbl>
              <c:idx val="5"/>
              <c:tx>
                <c:rich>
                  <a:bodyPr/>
                  <a:lstStyle/>
                  <a:p>
                    <a:fld id="{85BC6219-9244-4C26-91D2-246EB3E82D61}" type="VALUE">
                      <a:rPr lang="en-US" sz="1500" baseline="0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4E8-4240-8BA9-1183896AC8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calcs!$S$22:$AE$22</c:f>
              <c:strCache>
                <c:ptCount val="13"/>
                <c:pt idx="0">
                  <c:v>Oct - 2024</c:v>
                </c:pt>
                <c:pt idx="1">
                  <c:v>Nov - 2024</c:v>
                </c:pt>
                <c:pt idx="2">
                  <c:v>Dec - 2024</c:v>
                </c:pt>
                <c:pt idx="3">
                  <c:v>Jan - 2025</c:v>
                </c:pt>
                <c:pt idx="4">
                  <c:v>Feb - 2025</c:v>
                </c:pt>
                <c:pt idx="5">
                  <c:v>Mar - 2025</c:v>
                </c:pt>
                <c:pt idx="6">
                  <c:v>Apr - 2025</c:v>
                </c:pt>
                <c:pt idx="7">
                  <c:v>May - 2025</c:v>
                </c:pt>
                <c:pt idx="8">
                  <c:v>Jun - 2025</c:v>
                </c:pt>
                <c:pt idx="9">
                  <c:v>Jul - 2025</c:v>
                </c:pt>
                <c:pt idx="10">
                  <c:v>Aug - 2025</c:v>
                </c:pt>
                <c:pt idx="11">
                  <c:v>Sep - 2025</c:v>
                </c:pt>
                <c:pt idx="12">
                  <c:v>Oct - 2025</c:v>
                </c:pt>
              </c:strCache>
            </c:strRef>
          </c:cat>
          <c:val>
            <c:numRef>
              <c:f>calcs!$S$23:$AE$23</c:f>
              <c:numCache>
                <c:formatCode>General</c:formatCode>
                <c:ptCount val="13"/>
                <c:pt idx="0">
                  <c:v>414</c:v>
                </c:pt>
                <c:pt idx="1">
                  <c:v>353</c:v>
                </c:pt>
                <c:pt idx="2">
                  <c:v>299</c:v>
                </c:pt>
                <c:pt idx="3">
                  <c:v>331</c:v>
                </c:pt>
                <c:pt idx="4">
                  <c:v>362</c:v>
                </c:pt>
                <c:pt idx="5">
                  <c:v>366</c:v>
                </c:pt>
                <c:pt idx="6">
                  <c:v>351</c:v>
                </c:pt>
                <c:pt idx="7">
                  <c:v>384</c:v>
                </c:pt>
                <c:pt idx="8">
                  <c:v>325</c:v>
                </c:pt>
                <c:pt idx="9">
                  <c:v>332</c:v>
                </c:pt>
                <c:pt idx="10">
                  <c:v>367</c:v>
                </c:pt>
                <c:pt idx="11">
                  <c:v>276</c:v>
                </c:pt>
                <c:pt idx="12">
                  <c:v>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8-4240-8BA9-1183896AC8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12987440"/>
        <c:axId val="312994928"/>
      </c:lineChart>
      <c:catAx>
        <c:axId val="31298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994928"/>
        <c:crosses val="autoZero"/>
        <c:auto val="1"/>
        <c:lblAlgn val="ctr"/>
        <c:lblOffset val="100"/>
        <c:noMultiLvlLbl val="0"/>
      </c:catAx>
      <c:valAx>
        <c:axId val="312994928"/>
        <c:scaling>
          <c:orientation val="minMax"/>
          <c:min val="2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98744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1482213</xdr:colOff>
      <xdr:row>24</xdr:row>
      <xdr:rowOff>140473</xdr:rowOff>
    </xdr:from>
    <xdr:to>
      <xdr:col>1</xdr:col>
      <xdr:colOff>2552061</xdr:colOff>
      <xdr:row>30</xdr:row>
      <xdr:rowOff>13111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31249" y="6073187"/>
          <a:ext cx="1069848" cy="1097281"/>
        </a:xfrm>
        <a:custGeom>
          <a:avLst/>
          <a:gdLst>
            <a:gd name="connsiteX0" fmla="*/ 46039 w 508001"/>
            <a:gd name="connsiteY0" fmla="*/ 615695 h 704850"/>
            <a:gd name="connsiteX1" fmla="*/ 46039 w 508001"/>
            <a:gd name="connsiteY1" fmla="*/ 624839 h 704850"/>
            <a:gd name="connsiteX2" fmla="*/ 461964 w 508001"/>
            <a:gd name="connsiteY2" fmla="*/ 624839 h 704850"/>
            <a:gd name="connsiteX3" fmla="*/ 461964 w 508001"/>
            <a:gd name="connsiteY3" fmla="*/ 615695 h 704850"/>
            <a:gd name="connsiteX4" fmla="*/ 46039 w 508001"/>
            <a:gd name="connsiteY4" fmla="*/ 563116 h 704850"/>
            <a:gd name="connsiteX5" fmla="*/ 46039 w 508001"/>
            <a:gd name="connsiteY5" fmla="*/ 572260 h 704850"/>
            <a:gd name="connsiteX6" fmla="*/ 461964 w 508001"/>
            <a:gd name="connsiteY6" fmla="*/ 572260 h 704850"/>
            <a:gd name="connsiteX7" fmla="*/ 461964 w 508001"/>
            <a:gd name="connsiteY7" fmla="*/ 563116 h 704850"/>
            <a:gd name="connsiteX8" fmla="*/ 46039 w 508001"/>
            <a:gd name="connsiteY8" fmla="*/ 509745 h 704850"/>
            <a:gd name="connsiteX9" fmla="*/ 46039 w 508001"/>
            <a:gd name="connsiteY9" fmla="*/ 518889 h 704850"/>
            <a:gd name="connsiteX10" fmla="*/ 461964 w 508001"/>
            <a:gd name="connsiteY10" fmla="*/ 518889 h 704850"/>
            <a:gd name="connsiteX11" fmla="*/ 461964 w 508001"/>
            <a:gd name="connsiteY11" fmla="*/ 509745 h 704850"/>
            <a:gd name="connsiteX12" fmla="*/ 46039 w 508001"/>
            <a:gd name="connsiteY12" fmla="*/ 456374 h 704850"/>
            <a:gd name="connsiteX13" fmla="*/ 46039 w 508001"/>
            <a:gd name="connsiteY13" fmla="*/ 465518 h 704850"/>
            <a:gd name="connsiteX14" fmla="*/ 461964 w 508001"/>
            <a:gd name="connsiteY14" fmla="*/ 465518 h 704850"/>
            <a:gd name="connsiteX15" fmla="*/ 461964 w 508001"/>
            <a:gd name="connsiteY15" fmla="*/ 456374 h 704850"/>
            <a:gd name="connsiteX16" fmla="*/ 46039 w 508001"/>
            <a:gd name="connsiteY16" fmla="*/ 403003 h 704850"/>
            <a:gd name="connsiteX17" fmla="*/ 46039 w 508001"/>
            <a:gd name="connsiteY17" fmla="*/ 412147 h 704850"/>
            <a:gd name="connsiteX18" fmla="*/ 461964 w 508001"/>
            <a:gd name="connsiteY18" fmla="*/ 412147 h 704850"/>
            <a:gd name="connsiteX19" fmla="*/ 461964 w 508001"/>
            <a:gd name="connsiteY19" fmla="*/ 403003 h 704850"/>
            <a:gd name="connsiteX20" fmla="*/ 46039 w 508001"/>
            <a:gd name="connsiteY20" fmla="*/ 351219 h 704850"/>
            <a:gd name="connsiteX21" fmla="*/ 46039 w 508001"/>
            <a:gd name="connsiteY21" fmla="*/ 360363 h 704850"/>
            <a:gd name="connsiteX22" fmla="*/ 461964 w 508001"/>
            <a:gd name="connsiteY22" fmla="*/ 360363 h 704850"/>
            <a:gd name="connsiteX23" fmla="*/ 461964 w 508001"/>
            <a:gd name="connsiteY23" fmla="*/ 351219 h 704850"/>
            <a:gd name="connsiteX24" fmla="*/ 279084 w 508001"/>
            <a:gd name="connsiteY24" fmla="*/ 299783 h 704850"/>
            <a:gd name="connsiteX25" fmla="*/ 279084 w 508001"/>
            <a:gd name="connsiteY25" fmla="*/ 308927 h 704850"/>
            <a:gd name="connsiteX26" fmla="*/ 461964 w 508001"/>
            <a:gd name="connsiteY26" fmla="*/ 308927 h 704850"/>
            <a:gd name="connsiteX27" fmla="*/ 461964 w 508001"/>
            <a:gd name="connsiteY27" fmla="*/ 299783 h 704850"/>
            <a:gd name="connsiteX28" fmla="*/ 279084 w 508001"/>
            <a:gd name="connsiteY28" fmla="*/ 245172 h 704850"/>
            <a:gd name="connsiteX29" fmla="*/ 279084 w 508001"/>
            <a:gd name="connsiteY29" fmla="*/ 254316 h 704850"/>
            <a:gd name="connsiteX30" fmla="*/ 461964 w 508001"/>
            <a:gd name="connsiteY30" fmla="*/ 254316 h 704850"/>
            <a:gd name="connsiteX31" fmla="*/ 461964 w 508001"/>
            <a:gd name="connsiteY31" fmla="*/ 245172 h 704850"/>
            <a:gd name="connsiteX32" fmla="*/ 279084 w 508001"/>
            <a:gd name="connsiteY32" fmla="*/ 192149 h 704850"/>
            <a:gd name="connsiteX33" fmla="*/ 279084 w 508001"/>
            <a:gd name="connsiteY33" fmla="*/ 201293 h 704850"/>
            <a:gd name="connsiteX34" fmla="*/ 461964 w 508001"/>
            <a:gd name="connsiteY34" fmla="*/ 201293 h 704850"/>
            <a:gd name="connsiteX35" fmla="*/ 461964 w 508001"/>
            <a:gd name="connsiteY35" fmla="*/ 192149 h 704850"/>
            <a:gd name="connsiteX36" fmla="*/ 144466 w 508001"/>
            <a:gd name="connsiteY36" fmla="*/ 174626 h 704850"/>
            <a:gd name="connsiteX37" fmla="*/ 69854 w 508001"/>
            <a:gd name="connsiteY37" fmla="*/ 249238 h 704850"/>
            <a:gd name="connsiteX38" fmla="*/ 144466 w 508001"/>
            <a:gd name="connsiteY38" fmla="*/ 323850 h 704850"/>
            <a:gd name="connsiteX39" fmla="*/ 219078 w 508001"/>
            <a:gd name="connsiteY39" fmla="*/ 249238 h 704850"/>
            <a:gd name="connsiteX40" fmla="*/ 144466 w 508001"/>
            <a:gd name="connsiteY40" fmla="*/ 174626 h 704850"/>
            <a:gd name="connsiteX41" fmla="*/ 84669 w 508001"/>
            <a:gd name="connsiteY41" fmla="*/ 25401 h 704850"/>
            <a:gd name="connsiteX42" fmla="*/ 219078 w 508001"/>
            <a:gd name="connsiteY42" fmla="*/ 25401 h 704850"/>
            <a:gd name="connsiteX43" fmla="*/ 219078 w 508001"/>
            <a:gd name="connsiteY43" fmla="*/ 66675 h 704850"/>
            <a:gd name="connsiteX44" fmla="*/ 285753 w 508001"/>
            <a:gd name="connsiteY44" fmla="*/ 66675 h 704850"/>
            <a:gd name="connsiteX45" fmla="*/ 285753 w 508001"/>
            <a:gd name="connsiteY45" fmla="*/ 25401 h 704850"/>
            <a:gd name="connsiteX46" fmla="*/ 423332 w 508001"/>
            <a:gd name="connsiteY46" fmla="*/ 25401 h 704850"/>
            <a:gd name="connsiteX47" fmla="*/ 508001 w 508001"/>
            <a:gd name="connsiteY47" fmla="*/ 110070 h 704850"/>
            <a:gd name="connsiteX48" fmla="*/ 508001 w 508001"/>
            <a:gd name="connsiteY48" fmla="*/ 620181 h 704850"/>
            <a:gd name="connsiteX49" fmla="*/ 423332 w 508001"/>
            <a:gd name="connsiteY49" fmla="*/ 704850 h 704850"/>
            <a:gd name="connsiteX50" fmla="*/ 84669 w 508001"/>
            <a:gd name="connsiteY50" fmla="*/ 704850 h 704850"/>
            <a:gd name="connsiteX51" fmla="*/ 0 w 508001"/>
            <a:gd name="connsiteY51" fmla="*/ 620181 h 704850"/>
            <a:gd name="connsiteX52" fmla="*/ 0 w 508001"/>
            <a:gd name="connsiteY52" fmla="*/ 110070 h 704850"/>
            <a:gd name="connsiteX53" fmla="*/ 84669 w 508001"/>
            <a:gd name="connsiteY53" fmla="*/ 25401 h 704850"/>
            <a:gd name="connsiteX54" fmla="*/ 219078 w 508001"/>
            <a:gd name="connsiteY54" fmla="*/ 0 h 704850"/>
            <a:gd name="connsiteX55" fmla="*/ 285753 w 508001"/>
            <a:gd name="connsiteY55" fmla="*/ 0 h 704850"/>
            <a:gd name="connsiteX56" fmla="*/ 285753 w 508001"/>
            <a:gd name="connsiteY56" fmla="*/ 25401 h 704850"/>
            <a:gd name="connsiteX57" fmla="*/ 219078 w 508001"/>
            <a:gd name="connsiteY57" fmla="*/ 25401 h 704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508001" h="704850">
              <a:moveTo>
                <a:pt x="46039" y="615695"/>
              </a:moveTo>
              <a:lnTo>
                <a:pt x="46039" y="624839"/>
              </a:lnTo>
              <a:lnTo>
                <a:pt x="461964" y="624839"/>
              </a:lnTo>
              <a:lnTo>
                <a:pt x="461964" y="615695"/>
              </a:lnTo>
              <a:close/>
              <a:moveTo>
                <a:pt x="46039" y="563116"/>
              </a:moveTo>
              <a:lnTo>
                <a:pt x="46039" y="572260"/>
              </a:lnTo>
              <a:lnTo>
                <a:pt x="461964" y="572260"/>
              </a:lnTo>
              <a:lnTo>
                <a:pt x="461964" y="563116"/>
              </a:lnTo>
              <a:close/>
              <a:moveTo>
                <a:pt x="46039" y="509745"/>
              </a:moveTo>
              <a:lnTo>
                <a:pt x="46039" y="518889"/>
              </a:lnTo>
              <a:lnTo>
                <a:pt x="461964" y="518889"/>
              </a:lnTo>
              <a:lnTo>
                <a:pt x="461964" y="509745"/>
              </a:lnTo>
              <a:close/>
              <a:moveTo>
                <a:pt x="46039" y="456374"/>
              </a:moveTo>
              <a:lnTo>
                <a:pt x="46039" y="465518"/>
              </a:lnTo>
              <a:lnTo>
                <a:pt x="461964" y="465518"/>
              </a:lnTo>
              <a:lnTo>
                <a:pt x="461964" y="456374"/>
              </a:lnTo>
              <a:close/>
              <a:moveTo>
                <a:pt x="46039" y="403003"/>
              </a:moveTo>
              <a:lnTo>
                <a:pt x="46039" y="412147"/>
              </a:lnTo>
              <a:lnTo>
                <a:pt x="461964" y="412147"/>
              </a:lnTo>
              <a:lnTo>
                <a:pt x="461964" y="403003"/>
              </a:lnTo>
              <a:close/>
              <a:moveTo>
                <a:pt x="46039" y="351219"/>
              </a:moveTo>
              <a:lnTo>
                <a:pt x="46039" y="360363"/>
              </a:lnTo>
              <a:lnTo>
                <a:pt x="461964" y="360363"/>
              </a:lnTo>
              <a:lnTo>
                <a:pt x="461964" y="351219"/>
              </a:lnTo>
              <a:close/>
              <a:moveTo>
                <a:pt x="279084" y="299783"/>
              </a:moveTo>
              <a:lnTo>
                <a:pt x="279084" y="308927"/>
              </a:lnTo>
              <a:lnTo>
                <a:pt x="461964" y="308927"/>
              </a:lnTo>
              <a:lnTo>
                <a:pt x="461964" y="299783"/>
              </a:lnTo>
              <a:close/>
              <a:moveTo>
                <a:pt x="279084" y="245172"/>
              </a:moveTo>
              <a:lnTo>
                <a:pt x="279084" y="254316"/>
              </a:lnTo>
              <a:lnTo>
                <a:pt x="461964" y="254316"/>
              </a:lnTo>
              <a:lnTo>
                <a:pt x="461964" y="245172"/>
              </a:lnTo>
              <a:close/>
              <a:moveTo>
                <a:pt x="279084" y="192149"/>
              </a:moveTo>
              <a:lnTo>
                <a:pt x="279084" y="201293"/>
              </a:lnTo>
              <a:lnTo>
                <a:pt x="461964" y="201293"/>
              </a:lnTo>
              <a:lnTo>
                <a:pt x="461964" y="192149"/>
              </a:lnTo>
              <a:close/>
              <a:moveTo>
                <a:pt x="144466" y="174626"/>
              </a:moveTo>
              <a:cubicBezTo>
                <a:pt x="103259" y="174626"/>
                <a:pt x="69854" y="208031"/>
                <a:pt x="69854" y="249238"/>
              </a:cubicBezTo>
              <a:cubicBezTo>
                <a:pt x="69854" y="290445"/>
                <a:pt x="103259" y="323850"/>
                <a:pt x="144466" y="323850"/>
              </a:cubicBezTo>
              <a:cubicBezTo>
                <a:pt x="185673" y="323850"/>
                <a:pt x="219078" y="290445"/>
                <a:pt x="219078" y="249238"/>
              </a:cubicBezTo>
              <a:cubicBezTo>
                <a:pt x="219078" y="208031"/>
                <a:pt x="185673" y="174626"/>
                <a:pt x="144466" y="174626"/>
              </a:cubicBezTo>
              <a:close/>
              <a:moveTo>
                <a:pt x="84669" y="25401"/>
              </a:moveTo>
              <a:lnTo>
                <a:pt x="219078" y="25401"/>
              </a:lnTo>
              <a:lnTo>
                <a:pt x="219078" y="66675"/>
              </a:lnTo>
              <a:lnTo>
                <a:pt x="285753" y="66675"/>
              </a:lnTo>
              <a:lnTo>
                <a:pt x="285753" y="25401"/>
              </a:lnTo>
              <a:lnTo>
                <a:pt x="423332" y="25401"/>
              </a:lnTo>
              <a:cubicBezTo>
                <a:pt x="470093" y="25401"/>
                <a:pt x="508001" y="63309"/>
                <a:pt x="508001" y="110070"/>
              </a:cubicBezTo>
              <a:lnTo>
                <a:pt x="508001" y="620181"/>
              </a:lnTo>
              <a:cubicBezTo>
                <a:pt x="508001" y="666942"/>
                <a:pt x="470093" y="704850"/>
                <a:pt x="423332" y="704850"/>
              </a:cubicBezTo>
              <a:lnTo>
                <a:pt x="84669" y="704850"/>
              </a:lnTo>
              <a:cubicBezTo>
                <a:pt x="37908" y="704850"/>
                <a:pt x="0" y="666942"/>
                <a:pt x="0" y="620181"/>
              </a:cubicBezTo>
              <a:lnTo>
                <a:pt x="0" y="110070"/>
              </a:lnTo>
              <a:cubicBezTo>
                <a:pt x="0" y="63309"/>
                <a:pt x="37908" y="25401"/>
                <a:pt x="84669" y="25401"/>
              </a:cubicBezTo>
              <a:close/>
              <a:moveTo>
                <a:pt x="219078" y="0"/>
              </a:moveTo>
              <a:lnTo>
                <a:pt x="285753" y="0"/>
              </a:lnTo>
              <a:lnTo>
                <a:pt x="285753" y="25401"/>
              </a:lnTo>
              <a:lnTo>
                <a:pt x="219078" y="25401"/>
              </a:lnTo>
              <a:close/>
            </a:path>
          </a:pathLst>
        </a:custGeom>
        <a:solidFill>
          <a:schemeClr val="bg1">
            <a:alpha val="7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>
            <a:solidFill>
              <a:srgbClr val="D4E3F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293161</xdr:colOff>
      <xdr:row>4</xdr:row>
      <xdr:rowOff>38098</xdr:rowOff>
    </xdr:from>
    <xdr:to>
      <xdr:col>4</xdr:col>
      <xdr:colOff>505432</xdr:colOff>
      <xdr:row>12</xdr:row>
      <xdr:rowOff>65312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36</xdr:row>
      <xdr:rowOff>57150</xdr:rowOff>
    </xdr:from>
    <xdr:to>
      <xdr:col>18</xdr:col>
      <xdr:colOff>0</xdr:colOff>
      <xdr:row>44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1427785</xdr:colOff>
      <xdr:row>35</xdr:row>
      <xdr:rowOff>98084</xdr:rowOff>
    </xdr:from>
    <xdr:to>
      <xdr:col>1</xdr:col>
      <xdr:colOff>2497633</xdr:colOff>
      <xdr:row>39</xdr:row>
      <xdr:rowOff>130632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876821" y="7296263"/>
          <a:ext cx="1069848" cy="1025869"/>
        </a:xfrm>
        <a:custGeom>
          <a:avLst/>
          <a:gdLst>
            <a:gd name="connsiteX0" fmla="*/ 2986947 w 4162426"/>
            <a:gd name="connsiteY0" fmla="*/ 2895033 h 4162426"/>
            <a:gd name="connsiteX1" fmla="*/ 3310236 w 4162426"/>
            <a:gd name="connsiteY1" fmla="*/ 3218323 h 4162426"/>
            <a:gd name="connsiteX2" fmla="*/ 3255231 w 4162426"/>
            <a:gd name="connsiteY2" fmla="*/ 3273327 h 4162426"/>
            <a:gd name="connsiteX3" fmla="*/ 2931942 w 4162426"/>
            <a:gd name="connsiteY3" fmla="*/ 2950038 h 4162426"/>
            <a:gd name="connsiteX4" fmla="*/ 1173894 w 4162426"/>
            <a:gd name="connsiteY4" fmla="*/ 2895031 h 4162426"/>
            <a:gd name="connsiteX5" fmla="*/ 1228898 w 4162426"/>
            <a:gd name="connsiteY5" fmla="*/ 2950036 h 4162426"/>
            <a:gd name="connsiteX6" fmla="*/ 905609 w 4162426"/>
            <a:gd name="connsiteY6" fmla="*/ 3273325 h 4162426"/>
            <a:gd name="connsiteX7" fmla="*/ 862132 w 4162426"/>
            <a:gd name="connsiteY7" fmla="*/ 3229849 h 4162426"/>
            <a:gd name="connsiteX8" fmla="*/ 851155 w 4162426"/>
            <a:gd name="connsiteY8" fmla="*/ 3217770 h 4162426"/>
            <a:gd name="connsiteX9" fmla="*/ 2041526 w 4162426"/>
            <a:gd name="connsiteY9" fmla="*/ 2781299 h 4162426"/>
            <a:gd name="connsiteX10" fmla="*/ 2119314 w 4162426"/>
            <a:gd name="connsiteY10" fmla="*/ 2781299 h 4162426"/>
            <a:gd name="connsiteX11" fmla="*/ 2119314 w 4162426"/>
            <a:gd name="connsiteY11" fmla="*/ 3756524 h 4162426"/>
            <a:gd name="connsiteX12" fmla="*/ 2082027 w 4162426"/>
            <a:gd name="connsiteY12" fmla="*/ 3758407 h 4162426"/>
            <a:gd name="connsiteX13" fmla="*/ 2081987 w 4162426"/>
            <a:gd name="connsiteY13" fmla="*/ 3758407 h 4162426"/>
            <a:gd name="connsiteX14" fmla="*/ 2041526 w 4162426"/>
            <a:gd name="connsiteY14" fmla="*/ 3756364 h 4162426"/>
            <a:gd name="connsiteX15" fmla="*/ 2055119 w 4162426"/>
            <a:gd name="connsiteY15" fmla="*/ 2015909 h 4162426"/>
            <a:gd name="connsiteX16" fmla="*/ 2063513 w 4162426"/>
            <a:gd name="connsiteY16" fmla="*/ 2019061 h 4162426"/>
            <a:gd name="connsiteX17" fmla="*/ 2056269 w 4162426"/>
            <a:gd name="connsiteY17" fmla="*/ 2020774 h 4162426"/>
            <a:gd name="connsiteX18" fmla="*/ 2049825 w 4162426"/>
            <a:gd name="connsiteY18" fmla="*/ 1993522 h 4162426"/>
            <a:gd name="connsiteX19" fmla="*/ 2055119 w 4162426"/>
            <a:gd name="connsiteY19" fmla="*/ 2015909 h 4162426"/>
            <a:gd name="connsiteX20" fmla="*/ 2043112 w 4162426"/>
            <a:gd name="connsiteY20" fmla="*/ 2011401 h 4162426"/>
            <a:gd name="connsiteX21" fmla="*/ 2782093 w 4162426"/>
            <a:gd name="connsiteY21" fmla="*/ 1964532 h 4162426"/>
            <a:gd name="connsiteX22" fmla="*/ 3753677 w 4162426"/>
            <a:gd name="connsiteY22" fmla="*/ 1964532 h 4162426"/>
            <a:gd name="connsiteX23" fmla="*/ 3757360 w 4162426"/>
            <a:gd name="connsiteY23" fmla="*/ 2042320 h 4162426"/>
            <a:gd name="connsiteX24" fmla="*/ 2782093 w 4162426"/>
            <a:gd name="connsiteY24" fmla="*/ 2042320 h 4162426"/>
            <a:gd name="connsiteX25" fmla="*/ 410704 w 4162426"/>
            <a:gd name="connsiteY25" fmla="*/ 1964532 h 4162426"/>
            <a:gd name="connsiteX26" fmla="*/ 1381920 w 4162426"/>
            <a:gd name="connsiteY26" fmla="*/ 1964532 h 4162426"/>
            <a:gd name="connsiteX27" fmla="*/ 1381920 w 4162426"/>
            <a:gd name="connsiteY27" fmla="*/ 2042320 h 4162426"/>
            <a:gd name="connsiteX28" fmla="*/ 406776 w 4162426"/>
            <a:gd name="connsiteY28" fmla="*/ 2042320 h 4162426"/>
            <a:gd name="connsiteX29" fmla="*/ 2119927 w 4162426"/>
            <a:gd name="connsiteY29" fmla="*/ 1958847 h 4162426"/>
            <a:gd name="connsiteX30" fmla="*/ 3353974 w 4162426"/>
            <a:gd name="connsiteY30" fmla="*/ 2422171 h 4162426"/>
            <a:gd name="connsiteX31" fmla="*/ 3327190 w 4162426"/>
            <a:gd name="connsiteY31" fmla="*/ 2493509 h 4162426"/>
            <a:gd name="connsiteX32" fmla="*/ 2063513 w 4162426"/>
            <a:gd name="connsiteY32" fmla="*/ 2019061 h 4162426"/>
            <a:gd name="connsiteX33" fmla="*/ 2130424 w 4162426"/>
            <a:gd name="connsiteY33" fmla="*/ 2003238 h 4162426"/>
            <a:gd name="connsiteX34" fmla="*/ 907387 w 4162426"/>
            <a:gd name="connsiteY34" fmla="*/ 886357 h 4162426"/>
            <a:gd name="connsiteX35" fmla="*/ 1228898 w 4162426"/>
            <a:gd name="connsiteY35" fmla="*/ 1207868 h 4162426"/>
            <a:gd name="connsiteX36" fmla="*/ 1173894 w 4162426"/>
            <a:gd name="connsiteY36" fmla="*/ 1262872 h 4162426"/>
            <a:gd name="connsiteX37" fmla="*/ 852219 w 4162426"/>
            <a:gd name="connsiteY37" fmla="*/ 941197 h 4162426"/>
            <a:gd name="connsiteX38" fmla="*/ 3255104 w 4162426"/>
            <a:gd name="connsiteY38" fmla="*/ 884703 h 4162426"/>
            <a:gd name="connsiteX39" fmla="*/ 3309944 w 4162426"/>
            <a:gd name="connsiteY39" fmla="*/ 939872 h 4162426"/>
            <a:gd name="connsiteX40" fmla="*/ 2986945 w 4162426"/>
            <a:gd name="connsiteY40" fmla="*/ 1262871 h 4162426"/>
            <a:gd name="connsiteX41" fmla="*/ 2931940 w 4162426"/>
            <a:gd name="connsiteY41" fmla="*/ 1207867 h 4162426"/>
            <a:gd name="connsiteX42" fmla="*/ 1814783 w 4162426"/>
            <a:gd name="connsiteY42" fmla="*/ 668451 h 4162426"/>
            <a:gd name="connsiteX43" fmla="*/ 2119927 w 4162426"/>
            <a:gd name="connsiteY43" fmla="*/ 1958847 h 4162426"/>
            <a:gd name="connsiteX44" fmla="*/ 2069896 w 4162426"/>
            <a:gd name="connsiteY44" fmla="*/ 1940063 h 4162426"/>
            <a:gd name="connsiteX45" fmla="*/ 2049825 w 4162426"/>
            <a:gd name="connsiteY45" fmla="*/ 1993522 h 4162426"/>
            <a:gd name="connsiteX46" fmla="*/ 1740628 w 4162426"/>
            <a:gd name="connsiteY46" fmla="*/ 685986 h 4162426"/>
            <a:gd name="connsiteX47" fmla="*/ 2082007 w 4162426"/>
            <a:gd name="connsiteY47" fmla="*/ 404018 h 4162426"/>
            <a:gd name="connsiteX48" fmla="*/ 2120107 w 4162426"/>
            <a:gd name="connsiteY48" fmla="*/ 405942 h 4162426"/>
            <a:gd name="connsiteX49" fmla="*/ 2120107 w 4162426"/>
            <a:gd name="connsiteY49" fmla="*/ 1381126 h 4162426"/>
            <a:gd name="connsiteX50" fmla="*/ 2042319 w 4162426"/>
            <a:gd name="connsiteY50" fmla="*/ 1381126 h 4162426"/>
            <a:gd name="connsiteX51" fmla="*/ 2042319 w 4162426"/>
            <a:gd name="connsiteY51" fmla="*/ 405898 h 4162426"/>
            <a:gd name="connsiteX52" fmla="*/ 2042319 w 4162426"/>
            <a:gd name="connsiteY52" fmla="*/ 404018 h 4162426"/>
            <a:gd name="connsiteX53" fmla="*/ 2042319 w 4162426"/>
            <a:gd name="connsiteY53" fmla="*/ 405898 h 4162426"/>
            <a:gd name="connsiteX54" fmla="*/ 1921105 w 4162426"/>
            <a:gd name="connsiteY54" fmla="*/ 411637 h 4162426"/>
            <a:gd name="connsiteX55" fmla="*/ 954299 w 4162426"/>
            <a:gd name="connsiteY55" fmla="*/ 839723 h 4162426"/>
            <a:gd name="connsiteX56" fmla="*/ 907387 w 4162426"/>
            <a:gd name="connsiteY56" fmla="*/ 886357 h 4162426"/>
            <a:gd name="connsiteX57" fmla="*/ 905609 w 4162426"/>
            <a:gd name="connsiteY57" fmla="*/ 884578 h 4162426"/>
            <a:gd name="connsiteX58" fmla="*/ 850604 w 4162426"/>
            <a:gd name="connsiteY58" fmla="*/ 939583 h 4162426"/>
            <a:gd name="connsiteX59" fmla="*/ 852219 w 4162426"/>
            <a:gd name="connsiteY59" fmla="*/ 941197 h 4162426"/>
            <a:gd name="connsiteX60" fmla="*/ 847307 w 4162426"/>
            <a:gd name="connsiteY60" fmla="*/ 946079 h 4162426"/>
            <a:gd name="connsiteX61" fmla="*/ 413471 w 4162426"/>
            <a:gd name="connsiteY61" fmla="*/ 1909730 h 4162426"/>
            <a:gd name="connsiteX62" fmla="*/ 410704 w 4162426"/>
            <a:gd name="connsiteY62" fmla="*/ 1964532 h 4162426"/>
            <a:gd name="connsiteX63" fmla="*/ 404812 w 4162426"/>
            <a:gd name="connsiteY63" fmla="*/ 1964532 h 4162426"/>
            <a:gd name="connsiteX64" fmla="*/ 404812 w 4162426"/>
            <a:gd name="connsiteY64" fmla="*/ 2042320 h 4162426"/>
            <a:gd name="connsiteX65" fmla="*/ 406776 w 4162426"/>
            <a:gd name="connsiteY65" fmla="*/ 2042320 h 4162426"/>
            <a:gd name="connsiteX66" fmla="*/ 404812 w 4162426"/>
            <a:gd name="connsiteY66" fmla="*/ 2081213 h 4162426"/>
            <a:gd name="connsiteX67" fmla="*/ 787802 w 4162426"/>
            <a:gd name="connsiteY67" fmla="*/ 3148065 h 4162426"/>
            <a:gd name="connsiteX68" fmla="*/ 851155 w 4162426"/>
            <a:gd name="connsiteY68" fmla="*/ 3217770 h 4162426"/>
            <a:gd name="connsiteX69" fmla="*/ 850604 w 4162426"/>
            <a:gd name="connsiteY69" fmla="*/ 3218321 h 4162426"/>
            <a:gd name="connsiteX70" fmla="*/ 862132 w 4162426"/>
            <a:gd name="connsiteY70" fmla="*/ 3229849 h 4162426"/>
            <a:gd name="connsiteX71" fmla="*/ 896051 w 4162426"/>
            <a:gd name="connsiteY71" fmla="*/ 3267169 h 4162426"/>
            <a:gd name="connsiteX72" fmla="*/ 1910524 w 4162426"/>
            <a:gd name="connsiteY72" fmla="*/ 3749749 h 4162426"/>
            <a:gd name="connsiteX73" fmla="*/ 2041526 w 4162426"/>
            <a:gd name="connsiteY73" fmla="*/ 3756364 h 4162426"/>
            <a:gd name="connsiteX74" fmla="*/ 2041526 w 4162426"/>
            <a:gd name="connsiteY74" fmla="*/ 3758407 h 4162426"/>
            <a:gd name="connsiteX75" fmla="*/ 2081987 w 4162426"/>
            <a:gd name="connsiteY75" fmla="*/ 3758407 h 4162426"/>
            <a:gd name="connsiteX76" fmla="*/ 2082007 w 4162426"/>
            <a:gd name="connsiteY76" fmla="*/ 3758408 h 4162426"/>
            <a:gd name="connsiteX77" fmla="*/ 2082027 w 4162426"/>
            <a:gd name="connsiteY77" fmla="*/ 3758407 h 4162426"/>
            <a:gd name="connsiteX78" fmla="*/ 2119314 w 4162426"/>
            <a:gd name="connsiteY78" fmla="*/ 3758407 h 4162426"/>
            <a:gd name="connsiteX79" fmla="*/ 2119314 w 4162426"/>
            <a:gd name="connsiteY79" fmla="*/ 3756524 h 4162426"/>
            <a:gd name="connsiteX80" fmla="*/ 2253490 w 4162426"/>
            <a:gd name="connsiteY80" fmla="*/ 3749749 h 4162426"/>
            <a:gd name="connsiteX81" fmla="*/ 3759202 w 4162426"/>
            <a:gd name="connsiteY81" fmla="*/ 2081213 h 4162426"/>
            <a:gd name="connsiteX82" fmla="*/ 3757360 w 4162426"/>
            <a:gd name="connsiteY82" fmla="*/ 2042320 h 4162426"/>
            <a:gd name="connsiteX83" fmla="*/ 3759201 w 4162426"/>
            <a:gd name="connsiteY83" fmla="*/ 2042320 h 4162426"/>
            <a:gd name="connsiteX84" fmla="*/ 3759201 w 4162426"/>
            <a:gd name="connsiteY84" fmla="*/ 1964532 h 4162426"/>
            <a:gd name="connsiteX85" fmla="*/ 3753677 w 4162426"/>
            <a:gd name="connsiteY85" fmla="*/ 1964532 h 4162426"/>
            <a:gd name="connsiteX86" fmla="*/ 3751584 w 4162426"/>
            <a:gd name="connsiteY86" fmla="*/ 1920311 h 4162426"/>
            <a:gd name="connsiteX87" fmla="*/ 3323497 w 4162426"/>
            <a:gd name="connsiteY87" fmla="*/ 953505 h 4162426"/>
            <a:gd name="connsiteX88" fmla="*/ 3309944 w 4162426"/>
            <a:gd name="connsiteY88" fmla="*/ 939872 h 4162426"/>
            <a:gd name="connsiteX89" fmla="*/ 3310234 w 4162426"/>
            <a:gd name="connsiteY89" fmla="*/ 939582 h 4162426"/>
            <a:gd name="connsiteX90" fmla="*/ 3255229 w 4162426"/>
            <a:gd name="connsiteY90" fmla="*/ 884577 h 4162426"/>
            <a:gd name="connsiteX91" fmla="*/ 3255104 w 4162426"/>
            <a:gd name="connsiteY91" fmla="*/ 884703 h 4162426"/>
            <a:gd name="connsiteX92" fmla="*/ 3217141 w 4162426"/>
            <a:gd name="connsiteY92" fmla="*/ 846513 h 4162426"/>
            <a:gd name="connsiteX93" fmla="*/ 2253490 w 4162426"/>
            <a:gd name="connsiteY93" fmla="*/ 412677 h 4162426"/>
            <a:gd name="connsiteX94" fmla="*/ 2120107 w 4162426"/>
            <a:gd name="connsiteY94" fmla="*/ 405942 h 4162426"/>
            <a:gd name="connsiteX95" fmla="*/ 2120107 w 4162426"/>
            <a:gd name="connsiteY95" fmla="*/ 404018 h 4162426"/>
            <a:gd name="connsiteX96" fmla="*/ 2082007 w 4162426"/>
            <a:gd name="connsiteY96" fmla="*/ 404018 h 4162426"/>
            <a:gd name="connsiteX97" fmla="*/ 693752 w 4162426"/>
            <a:gd name="connsiteY97" fmla="*/ 0 h 4162426"/>
            <a:gd name="connsiteX98" fmla="*/ 3468674 w 4162426"/>
            <a:gd name="connsiteY98" fmla="*/ 0 h 4162426"/>
            <a:gd name="connsiteX99" fmla="*/ 4162426 w 4162426"/>
            <a:gd name="connsiteY99" fmla="*/ 693752 h 4162426"/>
            <a:gd name="connsiteX100" fmla="*/ 4162426 w 4162426"/>
            <a:gd name="connsiteY100" fmla="*/ 3468674 h 4162426"/>
            <a:gd name="connsiteX101" fmla="*/ 3468674 w 4162426"/>
            <a:gd name="connsiteY101" fmla="*/ 4162426 h 4162426"/>
            <a:gd name="connsiteX102" fmla="*/ 693752 w 4162426"/>
            <a:gd name="connsiteY102" fmla="*/ 4162426 h 4162426"/>
            <a:gd name="connsiteX103" fmla="*/ 0 w 4162426"/>
            <a:gd name="connsiteY103" fmla="*/ 3468674 h 4162426"/>
            <a:gd name="connsiteX104" fmla="*/ 0 w 4162426"/>
            <a:gd name="connsiteY104" fmla="*/ 693752 h 4162426"/>
            <a:gd name="connsiteX105" fmla="*/ 693752 w 4162426"/>
            <a:gd name="connsiteY105" fmla="*/ 0 h 41624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</a:cxnLst>
          <a:rect l="l" t="t" r="r" b="b"/>
          <a:pathLst>
            <a:path w="4162426" h="4162426">
              <a:moveTo>
                <a:pt x="2986947" y="2895033"/>
              </a:moveTo>
              <a:lnTo>
                <a:pt x="3310236" y="3218323"/>
              </a:lnTo>
              <a:lnTo>
                <a:pt x="3255231" y="3273327"/>
              </a:lnTo>
              <a:lnTo>
                <a:pt x="2931942" y="2950038"/>
              </a:lnTo>
              <a:close/>
              <a:moveTo>
                <a:pt x="1173894" y="2895031"/>
              </a:moveTo>
              <a:lnTo>
                <a:pt x="1228898" y="2950036"/>
              </a:lnTo>
              <a:lnTo>
                <a:pt x="905609" y="3273325"/>
              </a:lnTo>
              <a:lnTo>
                <a:pt x="862132" y="3229849"/>
              </a:lnTo>
              <a:lnTo>
                <a:pt x="851155" y="3217770"/>
              </a:lnTo>
              <a:close/>
              <a:moveTo>
                <a:pt x="2041526" y="2781299"/>
              </a:moveTo>
              <a:lnTo>
                <a:pt x="2119314" y="2781299"/>
              </a:lnTo>
              <a:lnTo>
                <a:pt x="2119314" y="3756524"/>
              </a:lnTo>
              <a:lnTo>
                <a:pt x="2082027" y="3758407"/>
              </a:lnTo>
              <a:lnTo>
                <a:pt x="2081987" y="3758407"/>
              </a:lnTo>
              <a:lnTo>
                <a:pt x="2041526" y="3756364"/>
              </a:lnTo>
              <a:close/>
              <a:moveTo>
                <a:pt x="2055119" y="2015909"/>
              </a:moveTo>
              <a:lnTo>
                <a:pt x="2063513" y="2019061"/>
              </a:lnTo>
              <a:lnTo>
                <a:pt x="2056269" y="2020774"/>
              </a:lnTo>
              <a:close/>
              <a:moveTo>
                <a:pt x="2049825" y="1993522"/>
              </a:moveTo>
              <a:lnTo>
                <a:pt x="2055119" y="2015909"/>
              </a:lnTo>
              <a:lnTo>
                <a:pt x="2043112" y="2011401"/>
              </a:lnTo>
              <a:close/>
              <a:moveTo>
                <a:pt x="2782093" y="1964532"/>
              </a:moveTo>
              <a:lnTo>
                <a:pt x="3753677" y="1964532"/>
              </a:lnTo>
              <a:lnTo>
                <a:pt x="3757360" y="2042320"/>
              </a:lnTo>
              <a:lnTo>
                <a:pt x="2782093" y="2042320"/>
              </a:lnTo>
              <a:close/>
              <a:moveTo>
                <a:pt x="410704" y="1964532"/>
              </a:moveTo>
              <a:lnTo>
                <a:pt x="1381920" y="1964532"/>
              </a:lnTo>
              <a:lnTo>
                <a:pt x="1381920" y="2042320"/>
              </a:lnTo>
              <a:lnTo>
                <a:pt x="406776" y="2042320"/>
              </a:lnTo>
              <a:close/>
              <a:moveTo>
                <a:pt x="2119927" y="1958847"/>
              </a:moveTo>
              <a:lnTo>
                <a:pt x="3353974" y="2422171"/>
              </a:lnTo>
              <a:lnTo>
                <a:pt x="3327190" y="2493509"/>
              </a:lnTo>
              <a:lnTo>
                <a:pt x="2063513" y="2019061"/>
              </a:lnTo>
              <a:lnTo>
                <a:pt x="2130424" y="2003238"/>
              </a:lnTo>
              <a:close/>
              <a:moveTo>
                <a:pt x="907387" y="886357"/>
              </a:moveTo>
              <a:lnTo>
                <a:pt x="1228898" y="1207868"/>
              </a:lnTo>
              <a:lnTo>
                <a:pt x="1173894" y="1262872"/>
              </a:lnTo>
              <a:lnTo>
                <a:pt x="852219" y="941197"/>
              </a:lnTo>
              <a:close/>
              <a:moveTo>
                <a:pt x="3255104" y="884703"/>
              </a:moveTo>
              <a:lnTo>
                <a:pt x="3309944" y="939872"/>
              </a:lnTo>
              <a:lnTo>
                <a:pt x="2986945" y="1262871"/>
              </a:lnTo>
              <a:lnTo>
                <a:pt x="2931940" y="1207867"/>
              </a:lnTo>
              <a:close/>
              <a:moveTo>
                <a:pt x="1814783" y="668451"/>
              </a:moveTo>
              <a:lnTo>
                <a:pt x="2119927" y="1958847"/>
              </a:lnTo>
              <a:lnTo>
                <a:pt x="2069896" y="1940063"/>
              </a:lnTo>
              <a:lnTo>
                <a:pt x="2049825" y="1993522"/>
              </a:lnTo>
              <a:lnTo>
                <a:pt x="1740628" y="685986"/>
              </a:lnTo>
              <a:close/>
              <a:moveTo>
                <a:pt x="2082007" y="404018"/>
              </a:moveTo>
              <a:lnTo>
                <a:pt x="2120107" y="405942"/>
              </a:lnTo>
              <a:lnTo>
                <a:pt x="2120107" y="1381126"/>
              </a:lnTo>
              <a:lnTo>
                <a:pt x="2042319" y="1381126"/>
              </a:lnTo>
              <a:lnTo>
                <a:pt x="2042319" y="405898"/>
              </a:lnTo>
              <a:close/>
              <a:moveTo>
                <a:pt x="2042319" y="404018"/>
              </a:moveTo>
              <a:lnTo>
                <a:pt x="2042319" y="405898"/>
              </a:lnTo>
              <a:lnTo>
                <a:pt x="1921105" y="411637"/>
              </a:lnTo>
              <a:cubicBezTo>
                <a:pt x="1550422" y="446918"/>
                <a:pt x="1214917" y="602851"/>
                <a:pt x="954299" y="839723"/>
              </a:cubicBezTo>
              <a:lnTo>
                <a:pt x="907387" y="886357"/>
              </a:lnTo>
              <a:lnTo>
                <a:pt x="905609" y="884578"/>
              </a:lnTo>
              <a:lnTo>
                <a:pt x="850604" y="939583"/>
              </a:lnTo>
              <a:lnTo>
                <a:pt x="852219" y="941197"/>
              </a:lnTo>
              <a:lnTo>
                <a:pt x="847307" y="946079"/>
              </a:lnTo>
              <a:cubicBezTo>
                <a:pt x="608897" y="1205267"/>
                <a:pt x="451048" y="1539720"/>
                <a:pt x="413471" y="1909730"/>
              </a:cubicBezTo>
              <a:lnTo>
                <a:pt x="410704" y="1964532"/>
              </a:lnTo>
              <a:lnTo>
                <a:pt x="404812" y="1964532"/>
              </a:lnTo>
              <a:lnTo>
                <a:pt x="404812" y="2042320"/>
              </a:lnTo>
              <a:lnTo>
                <a:pt x="406776" y="2042320"/>
              </a:lnTo>
              <a:lnTo>
                <a:pt x="404812" y="2081213"/>
              </a:lnTo>
              <a:cubicBezTo>
                <a:pt x="404812" y="2486465"/>
                <a:pt x="548540" y="2858147"/>
                <a:pt x="787802" y="3148065"/>
              </a:cubicBezTo>
              <a:lnTo>
                <a:pt x="851155" y="3217770"/>
              </a:lnTo>
              <a:lnTo>
                <a:pt x="850604" y="3218321"/>
              </a:lnTo>
              <a:lnTo>
                <a:pt x="862132" y="3229849"/>
              </a:lnTo>
              <a:lnTo>
                <a:pt x="896051" y="3267169"/>
              </a:lnTo>
              <a:cubicBezTo>
                <a:pt x="1161625" y="3532743"/>
                <a:pt x="1515847" y="3709667"/>
                <a:pt x="1910524" y="3749749"/>
              </a:cubicBezTo>
              <a:lnTo>
                <a:pt x="2041526" y="3756364"/>
              </a:lnTo>
              <a:lnTo>
                <a:pt x="2041526" y="3758407"/>
              </a:lnTo>
              <a:lnTo>
                <a:pt x="2081987" y="3758407"/>
              </a:lnTo>
              <a:lnTo>
                <a:pt x="2082007" y="3758408"/>
              </a:lnTo>
              <a:lnTo>
                <a:pt x="2082027" y="3758407"/>
              </a:lnTo>
              <a:lnTo>
                <a:pt x="2119314" y="3758407"/>
              </a:lnTo>
              <a:lnTo>
                <a:pt x="2119314" y="3756524"/>
              </a:lnTo>
              <a:lnTo>
                <a:pt x="2253490" y="3749749"/>
              </a:lnTo>
              <a:cubicBezTo>
                <a:pt x="3099226" y="3663860"/>
                <a:pt x="3759202" y="2949609"/>
                <a:pt x="3759202" y="2081213"/>
              </a:cubicBezTo>
              <a:lnTo>
                <a:pt x="3757360" y="2042320"/>
              </a:lnTo>
              <a:lnTo>
                <a:pt x="3759201" y="2042320"/>
              </a:lnTo>
              <a:lnTo>
                <a:pt x="3759201" y="1964532"/>
              </a:lnTo>
              <a:lnTo>
                <a:pt x="3753677" y="1964532"/>
              </a:lnTo>
              <a:lnTo>
                <a:pt x="3751584" y="1920311"/>
              </a:lnTo>
              <a:cubicBezTo>
                <a:pt x="3716302" y="1549628"/>
                <a:pt x="3560369" y="1214123"/>
                <a:pt x="3323497" y="953505"/>
              </a:cubicBezTo>
              <a:lnTo>
                <a:pt x="3309944" y="939872"/>
              </a:lnTo>
              <a:lnTo>
                <a:pt x="3310234" y="939582"/>
              </a:lnTo>
              <a:lnTo>
                <a:pt x="3255229" y="884577"/>
              </a:lnTo>
              <a:lnTo>
                <a:pt x="3255104" y="884703"/>
              </a:lnTo>
              <a:lnTo>
                <a:pt x="3217141" y="846513"/>
              </a:lnTo>
              <a:cubicBezTo>
                <a:pt x="2957953" y="608103"/>
                <a:pt x="2623499" y="450254"/>
                <a:pt x="2253490" y="412677"/>
              </a:cubicBezTo>
              <a:lnTo>
                <a:pt x="2120107" y="405942"/>
              </a:lnTo>
              <a:lnTo>
                <a:pt x="2120107" y="404018"/>
              </a:lnTo>
              <a:lnTo>
                <a:pt x="2082007" y="404018"/>
              </a:lnTo>
              <a:close/>
              <a:moveTo>
                <a:pt x="693752" y="0"/>
              </a:moveTo>
              <a:lnTo>
                <a:pt x="3468674" y="0"/>
              </a:lnTo>
              <a:cubicBezTo>
                <a:pt x="3851823" y="0"/>
                <a:pt x="4162426" y="310604"/>
                <a:pt x="4162426" y="693752"/>
              </a:cubicBezTo>
              <a:lnTo>
                <a:pt x="4162426" y="3468674"/>
              </a:lnTo>
              <a:cubicBezTo>
                <a:pt x="4162426" y="3851823"/>
                <a:pt x="3851823" y="4162426"/>
                <a:pt x="3468674" y="4162426"/>
              </a:cubicBezTo>
              <a:lnTo>
                <a:pt x="693752" y="4162426"/>
              </a:lnTo>
              <a:cubicBezTo>
                <a:pt x="310603" y="4162426"/>
                <a:pt x="0" y="3851823"/>
                <a:pt x="0" y="3468674"/>
              </a:cubicBezTo>
              <a:lnTo>
                <a:pt x="0" y="693752"/>
              </a:lnTo>
              <a:cubicBezTo>
                <a:pt x="0" y="310604"/>
                <a:pt x="310603" y="0"/>
                <a:pt x="693752" y="0"/>
              </a:cubicBezTo>
              <a:close/>
            </a:path>
          </a:pathLst>
        </a:custGeom>
        <a:solidFill>
          <a:schemeClr val="bg1">
            <a:alpha val="70000"/>
          </a:scheme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152399</xdr:colOff>
      <xdr:row>36</xdr:row>
      <xdr:rowOff>57150</xdr:rowOff>
    </xdr:from>
    <xdr:to>
      <xdr:col>6</xdr:col>
      <xdr:colOff>838200</xdr:colOff>
      <xdr:row>44</xdr:row>
      <xdr:rowOff>190499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DD9589-E1A8-4DAA-8016-EA7C279C4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122464</xdr:colOff>
      <xdr:row>4</xdr:row>
      <xdr:rowOff>95249</xdr:rowOff>
    </xdr:from>
    <xdr:to>
      <xdr:col>12</xdr:col>
      <xdr:colOff>1006930</xdr:colOff>
      <xdr:row>12</xdr:row>
      <xdr:rowOff>176892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F0DBD4C-0C80-41D9-9C34-9D9609D87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56030</xdr:colOff>
      <xdr:row>4</xdr:row>
      <xdr:rowOff>89647</xdr:rowOff>
    </xdr:from>
    <xdr:to>
      <xdr:col>17</xdr:col>
      <xdr:colOff>1089212</xdr:colOff>
      <xdr:row>33</xdr:row>
      <xdr:rowOff>99171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30267E-C446-4C01-AE2A-0A3A45819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4</xdr:col>
      <xdr:colOff>755196</xdr:colOff>
      <xdr:row>4</xdr:row>
      <xdr:rowOff>38098</xdr:rowOff>
    </xdr:from>
    <xdr:to>
      <xdr:col>6</xdr:col>
      <xdr:colOff>488496</xdr:colOff>
      <xdr:row>12</xdr:row>
      <xdr:rowOff>65312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246EAA-0F08-4F9B-8C4F-9033E0012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493895</xdr:colOff>
      <xdr:row>11</xdr:row>
      <xdr:rowOff>19182</xdr:rowOff>
    </xdr:from>
    <xdr:to>
      <xdr:col>4</xdr:col>
      <xdr:colOff>258535</xdr:colOff>
      <xdr:row>13</xdr:row>
      <xdr:rowOff>10886</xdr:rowOff>
    </xdr:to>
    <xdr:sp macro="" textlink="'Data Staging Lag'!Q22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691574" y="3638682"/>
          <a:ext cx="1383890" cy="454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AABA680-5EC0-42D7-85CC-5F646D26DD3B}" type="TxLink">
            <a:rPr lang="en-US" sz="1400" b="0" i="0" u="none" strike="noStrike">
              <a:solidFill>
                <a:srgbClr val="000000"/>
              </a:solidFill>
              <a:latin typeface="Arial" panose="020B0604020202020204" pitchFamily="34" charset="0"/>
              <a:ea typeface="Tahoma"/>
              <a:cs typeface="Arial" panose="020B0604020202020204" pitchFamily="34" charset="0"/>
            </a:rPr>
            <a:pPr algn="ctr"/>
            <a:t>49</a:t>
          </a:fld>
          <a:endParaRPr lang="en-US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145596</xdr:colOff>
      <xdr:row>11</xdr:row>
      <xdr:rowOff>4082</xdr:rowOff>
    </xdr:from>
    <xdr:to>
      <xdr:col>6</xdr:col>
      <xdr:colOff>43586</xdr:colOff>
      <xdr:row>13</xdr:row>
      <xdr:rowOff>0</xdr:rowOff>
    </xdr:to>
    <xdr:sp macro="" textlink="'Data Staging Lag'!Q23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010275" y="3623582"/>
          <a:ext cx="945740" cy="458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D39F1A-80B1-4182-8818-DDA48EC7B2D5}" type="TxLink">
            <a:rPr lang="en-US" sz="1400" b="0" i="0" u="none" strike="noStrike">
              <a:solidFill>
                <a:srgbClr val="000000"/>
              </a:solidFill>
              <a:latin typeface="Arial" panose="020B0604020202020204" pitchFamily="34" charset="0"/>
              <a:ea typeface="Tahoma"/>
              <a:cs typeface="Arial" panose="020B0604020202020204" pitchFamily="34" charset="0"/>
            </a:rPr>
            <a:pPr algn="ctr"/>
            <a:t>48</a:t>
          </a:fld>
          <a:endParaRPr lang="en-US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884466</xdr:colOff>
      <xdr:row>34</xdr:row>
      <xdr:rowOff>17687</xdr:rowOff>
    </xdr:from>
    <xdr:to>
      <xdr:col>31</xdr:col>
      <xdr:colOff>908959</xdr:colOff>
      <xdr:row>51</xdr:row>
      <xdr:rowOff>77559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V100"/>
  <sheetViews>
    <sheetView showGridLines="0" tabSelected="1" zoomScale="70" zoomScaleNormal="70" workbookViewId="0"/>
  </sheetViews>
  <sheetFormatPr defaultColWidth="9.140625" defaultRowHeight="12.75" x14ac:dyDescent="0.2"/>
  <cols>
    <col min="1" max="1" width="6.7109375" style="3" customWidth="1"/>
    <col min="2" max="2" width="40" style="3" customWidth="1"/>
    <col min="3" max="3" width="1.28515625" style="3" customWidth="1"/>
    <col min="4" max="4" width="24.28515625" style="3" customWidth="1"/>
    <col min="5" max="7" width="15.7109375" style="3" customWidth="1"/>
    <col min="8" max="8" width="1.7109375" style="3" customWidth="1"/>
    <col min="9" max="9" width="1.28515625" style="3" customWidth="1"/>
    <col min="10" max="10" width="24.7109375" style="3" customWidth="1"/>
    <col min="11" max="13" width="15.7109375" style="3" customWidth="1"/>
    <col min="14" max="14" width="1.7109375" style="3" customWidth="1"/>
    <col min="15" max="15" width="1.28515625" style="3" customWidth="1"/>
    <col min="16" max="18" width="16.7109375" style="3" customWidth="1"/>
    <col min="19" max="19" width="1.7109375" style="3" customWidth="1"/>
    <col min="20" max="20" width="13.140625" style="1" customWidth="1"/>
    <col min="21" max="21" width="24.85546875" style="5" bestFit="1" customWidth="1"/>
    <col min="22" max="22" width="13.7109375" style="5" customWidth="1"/>
    <col min="23" max="35" width="13.7109375" style="3" customWidth="1"/>
    <col min="36" max="16384" width="9.140625" style="3"/>
  </cols>
  <sheetData>
    <row r="1" spans="1:35" ht="6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U1" s="2"/>
      <c r="V1" s="2"/>
    </row>
    <row r="2" spans="1:35" ht="50.1" customHeight="1" x14ac:dyDescent="0.2">
      <c r="A2" s="1"/>
      <c r="B2" s="104" t="str">
        <f>"Referrals Dashboard as of "&amp;TEXT('Data Staging Provider Stats'!AQ5,"MMM")&amp;" "&amp;TEXT('Data Staging Provider Stats'!AQ5,"YYYY")</f>
        <v>Referrals Dashboard as of Oct 2025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4"/>
    </row>
    <row r="3" spans="1:35" s="1" customFormat="1" ht="6" customHeight="1" x14ac:dyDescent="0.2"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35" ht="24" customHeight="1" x14ac:dyDescent="0.35">
      <c r="A4" s="1"/>
      <c r="B4" s="108">
        <f>'Data Staging Lag'!Q6</f>
        <v>366</v>
      </c>
      <c r="C4" s="1"/>
      <c r="D4" s="85" t="str">
        <f>"Appointment Lag &gt; 14 Days "&amp;TEXT('Data Staging Provider Stats'!AQ5,"MMM")&amp;" "&amp;TEXT('Data Staging Provider Stats'!AQ5,"YYYY")</f>
        <v>Appointment Lag &gt; 14 Days Oct 2025</v>
      </c>
      <c r="E4" s="85"/>
      <c r="F4" s="85"/>
      <c r="G4" s="85"/>
      <c r="H4" s="85"/>
      <c r="I4" s="7"/>
      <c r="J4" s="85" t="s">
        <v>24</v>
      </c>
      <c r="K4" s="85"/>
      <c r="L4" s="85"/>
      <c r="M4" s="85"/>
      <c r="N4" s="85"/>
      <c r="O4" s="8"/>
      <c r="P4" s="85" t="s">
        <v>22</v>
      </c>
      <c r="Q4" s="85"/>
      <c r="R4" s="85"/>
      <c r="S4" s="85"/>
      <c r="T4" s="9"/>
    </row>
    <row r="5" spans="1:35" ht="18" customHeight="1" x14ac:dyDescent="0.2">
      <c r="A5" s="1"/>
      <c r="B5" s="108"/>
      <c r="C5" s="1"/>
      <c r="D5" s="10"/>
      <c r="E5" s="10"/>
      <c r="F5" s="10"/>
      <c r="G5" s="10"/>
      <c r="H5" s="10"/>
      <c r="I5" s="6"/>
      <c r="J5" s="11"/>
      <c r="K5" s="10"/>
      <c r="L5" s="10"/>
      <c r="M5" s="10"/>
      <c r="N5" s="10"/>
      <c r="O5" s="6"/>
      <c r="P5" s="106"/>
      <c r="Q5" s="106"/>
      <c r="R5" s="106"/>
      <c r="S5" s="106"/>
      <c r="T5" s="6"/>
    </row>
    <row r="6" spans="1:35" ht="18" customHeight="1" x14ac:dyDescent="0.2">
      <c r="A6" s="1"/>
      <c r="B6" s="109" t="str">
        <f>"Completed Referrals "&amp;TEXT('Data Staging Provider Stats'!AQ5,"MMM")&amp;" "&amp;TEXT('Data Staging Provider Stats'!AQ5,"YYYY")</f>
        <v>Completed Referrals Oct 2025</v>
      </c>
      <c r="C6" s="1"/>
      <c r="D6" s="10"/>
      <c r="E6" s="10"/>
      <c r="F6" s="10"/>
      <c r="G6" s="10"/>
      <c r="H6" s="10"/>
      <c r="I6" s="6"/>
      <c r="J6" s="12"/>
      <c r="K6" s="10"/>
      <c r="L6" s="10"/>
      <c r="M6" s="10"/>
      <c r="N6" s="10"/>
      <c r="O6" s="6"/>
      <c r="P6" s="106"/>
      <c r="Q6" s="106"/>
      <c r="R6" s="106"/>
      <c r="S6" s="106"/>
    </row>
    <row r="7" spans="1:35" ht="18" customHeight="1" x14ac:dyDescent="0.2">
      <c r="A7" s="1"/>
      <c r="B7" s="109"/>
      <c r="C7" s="1"/>
      <c r="D7" s="10"/>
      <c r="E7" s="10"/>
      <c r="F7" s="10"/>
      <c r="G7" s="10"/>
      <c r="H7" s="10"/>
      <c r="I7" s="6"/>
      <c r="J7" s="12"/>
      <c r="K7" s="10"/>
      <c r="L7" s="10"/>
      <c r="M7" s="10"/>
      <c r="N7" s="10"/>
      <c r="O7" s="6"/>
      <c r="P7" s="13"/>
      <c r="Q7" s="13"/>
      <c r="R7" s="13"/>
      <c r="S7" s="13"/>
    </row>
    <row r="8" spans="1:35" ht="18" customHeight="1" x14ac:dyDescent="0.2">
      <c r="A8" s="1"/>
      <c r="B8" s="110">
        <f>'Data Staging Lag'!E6</f>
        <v>414</v>
      </c>
      <c r="C8" s="1"/>
      <c r="D8" s="14"/>
      <c r="E8" s="14"/>
      <c r="F8" s="14"/>
      <c r="G8" s="14"/>
      <c r="H8" s="14"/>
      <c r="I8" s="15"/>
      <c r="J8" s="16"/>
      <c r="K8" s="14"/>
      <c r="L8" s="14"/>
      <c r="M8" s="14"/>
      <c r="N8" s="14"/>
      <c r="O8" s="15"/>
      <c r="P8" s="13"/>
      <c r="Q8" s="13"/>
      <c r="R8" s="13"/>
      <c r="S8" s="13"/>
      <c r="T8" s="15"/>
    </row>
    <row r="9" spans="1:35" ht="16.5" customHeight="1" x14ac:dyDescent="0.2">
      <c r="A9" s="1"/>
      <c r="B9" s="110"/>
      <c r="C9" s="1"/>
      <c r="D9" s="13"/>
      <c r="E9" s="13"/>
      <c r="F9" s="13"/>
      <c r="G9" s="13"/>
      <c r="H9" s="13"/>
      <c r="I9" s="1"/>
      <c r="J9" s="107"/>
      <c r="K9" s="13"/>
      <c r="L9" s="13"/>
      <c r="M9" s="13"/>
      <c r="N9" s="13"/>
      <c r="O9" s="1"/>
      <c r="P9" s="13"/>
      <c r="Q9" s="13"/>
      <c r="R9" s="13"/>
      <c r="S9" s="13"/>
      <c r="U9" s="99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</row>
    <row r="10" spans="1:35" ht="18" customHeight="1" x14ac:dyDescent="0.2">
      <c r="A10" s="1"/>
      <c r="B10" s="111" t="str">
        <f>"Completed Referrals "&amp;TEXT('Data Staging Lag'!E5,"MMM")&amp;" "&amp;TEXT('Data Staging Lag'!E5,"YYYY")</f>
        <v>Completed Referrals Oct 2024</v>
      </c>
      <c r="C10" s="1"/>
      <c r="D10" s="13"/>
      <c r="E10" s="13"/>
      <c r="F10" s="13"/>
      <c r="G10" s="13"/>
      <c r="H10" s="13"/>
      <c r="I10" s="1"/>
      <c r="J10" s="107"/>
      <c r="K10" s="13"/>
      <c r="L10" s="13"/>
      <c r="M10" s="13"/>
      <c r="N10" s="13"/>
      <c r="O10" s="1"/>
      <c r="P10" s="13"/>
      <c r="Q10" s="13"/>
      <c r="R10" s="13"/>
      <c r="S10" s="13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</row>
    <row r="11" spans="1:35" s="19" customFormat="1" ht="18" customHeight="1" x14ac:dyDescent="0.2">
      <c r="A11" s="1"/>
      <c r="B11" s="111"/>
      <c r="C11" s="17"/>
      <c r="D11" s="18"/>
      <c r="E11" s="18"/>
      <c r="F11" s="18"/>
      <c r="G11" s="18"/>
      <c r="H11" s="18"/>
      <c r="I11" s="17"/>
      <c r="J11" s="107"/>
      <c r="K11" s="18"/>
      <c r="L11" s="18"/>
      <c r="M11" s="18"/>
      <c r="N11" s="18"/>
      <c r="O11" s="17"/>
      <c r="P11" s="13"/>
      <c r="Q11" s="13"/>
      <c r="R11" s="13"/>
      <c r="S11" s="13"/>
      <c r="T11" s="17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</row>
    <row r="12" spans="1:35" ht="18" customHeight="1" x14ac:dyDescent="0.2">
      <c r="A12" s="1"/>
      <c r="B12" s="95" t="str">
        <f>CONCATENATE(ROUND(calcs!M3,2), "%",IF(calcs!M3&lt;0," Decrease"," Increase"))</f>
        <v>-11.59% Decrease</v>
      </c>
      <c r="C12" s="1"/>
      <c r="D12" s="13"/>
      <c r="E12" s="105"/>
      <c r="F12" s="105"/>
      <c r="G12" s="13"/>
      <c r="H12" s="13"/>
      <c r="I12" s="1"/>
      <c r="J12" s="12"/>
      <c r="K12" s="13"/>
      <c r="L12" s="13"/>
      <c r="M12" s="13"/>
      <c r="N12" s="13"/>
      <c r="O12" s="1"/>
      <c r="P12" s="13"/>
      <c r="Q12" s="13"/>
      <c r="R12" s="13"/>
      <c r="S12" s="13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</row>
    <row r="13" spans="1:35" ht="18" customHeight="1" x14ac:dyDescent="0.2">
      <c r="A13" s="1"/>
      <c r="B13" s="95"/>
      <c r="C13" s="1"/>
      <c r="D13" s="13"/>
      <c r="E13" s="13"/>
      <c r="F13" s="11"/>
      <c r="G13" s="13"/>
      <c r="H13" s="13"/>
      <c r="I13" s="1"/>
      <c r="J13" s="13"/>
      <c r="K13" s="13"/>
      <c r="L13" s="13"/>
      <c r="M13" s="13"/>
      <c r="N13" s="13"/>
      <c r="O13" s="1"/>
      <c r="P13" s="13"/>
      <c r="Q13" s="13"/>
      <c r="R13" s="13"/>
      <c r="S13" s="13"/>
    </row>
    <row r="14" spans="1:35" ht="6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3"/>
      <c r="Q14" s="13"/>
      <c r="R14" s="13"/>
      <c r="S14" s="13"/>
    </row>
    <row r="15" spans="1:35" ht="15" hidden="1" customHeight="1" x14ac:dyDescent="0.2">
      <c r="A15" s="1"/>
      <c r="B15" s="1"/>
      <c r="C15" s="1"/>
      <c r="O15" s="3">
        <v>1</v>
      </c>
      <c r="P15" s="13"/>
      <c r="Q15" s="13"/>
      <c r="R15" s="13"/>
      <c r="S15" s="13"/>
    </row>
    <row r="16" spans="1:35" ht="24" customHeight="1" x14ac:dyDescent="0.2">
      <c r="A16" s="1"/>
      <c r="B16" s="102">
        <v>523</v>
      </c>
      <c r="C16" s="1"/>
      <c r="D16" s="85" t="s">
        <v>29</v>
      </c>
      <c r="E16" s="85"/>
      <c r="F16" s="85"/>
      <c r="G16" s="85"/>
      <c r="H16" s="85"/>
      <c r="I16" s="48"/>
      <c r="J16" s="85" t="s">
        <v>30</v>
      </c>
      <c r="K16" s="85"/>
      <c r="L16" s="85"/>
      <c r="M16" s="85"/>
      <c r="N16" s="85"/>
      <c r="O16" s="52"/>
      <c r="P16" s="13"/>
      <c r="Q16" s="13"/>
      <c r="R16" s="13"/>
      <c r="S16" s="13"/>
      <c r="T16" s="9"/>
      <c r="U16" s="112" t="s">
        <v>34</v>
      </c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</row>
    <row r="17" spans="1:1023 1030:3066 3073:4092 4099:5118 5125:6144 6151:8187 8194:9213 9220:10239 10246:12282 12289:13308 13315:14334 14341:15360 15367:16376" s="22" customFormat="1" ht="15.95" customHeight="1" x14ac:dyDescent="0.2">
      <c r="A17" s="1"/>
      <c r="B17" s="102"/>
      <c r="C17" s="1"/>
      <c r="D17" s="54" t="s">
        <v>4</v>
      </c>
      <c r="E17" s="55" t="s">
        <v>2</v>
      </c>
      <c r="F17" s="55" t="s">
        <v>1</v>
      </c>
      <c r="G17" s="56" t="s">
        <v>0</v>
      </c>
      <c r="H17" s="55"/>
      <c r="I17" s="49"/>
      <c r="J17" s="54" t="s">
        <v>6</v>
      </c>
      <c r="K17" s="55" t="s">
        <v>2</v>
      </c>
      <c r="L17" s="55" t="s">
        <v>8</v>
      </c>
      <c r="M17" s="56" t="s">
        <v>0</v>
      </c>
      <c r="N17" s="55"/>
      <c r="O17" s="20"/>
      <c r="P17" s="12"/>
      <c r="Q17" s="12"/>
      <c r="R17" s="12"/>
      <c r="S17" s="12"/>
      <c r="T17" s="21"/>
      <c r="U17" s="75" t="s">
        <v>4</v>
      </c>
      <c r="V17" s="73">
        <f>calcs!S3</f>
        <v>45931</v>
      </c>
      <c r="W17" s="73">
        <f>calcs!T3</f>
        <v>45901</v>
      </c>
      <c r="X17" s="73">
        <f>calcs!U3</f>
        <v>45870</v>
      </c>
      <c r="Y17" s="73">
        <f>calcs!V3</f>
        <v>45839</v>
      </c>
      <c r="Z17" s="73">
        <f>calcs!W3</f>
        <v>45809</v>
      </c>
      <c r="AA17" s="73">
        <f>calcs!X3</f>
        <v>45778</v>
      </c>
      <c r="AB17" s="73">
        <f>calcs!Y3</f>
        <v>45748</v>
      </c>
      <c r="AC17" s="73">
        <f>calcs!Z3</f>
        <v>45717</v>
      </c>
      <c r="AD17" s="73">
        <f>calcs!AA3</f>
        <v>45689</v>
      </c>
      <c r="AE17" s="73">
        <f>calcs!AB3</f>
        <v>45658</v>
      </c>
      <c r="AF17" s="73">
        <f>calcs!AC3</f>
        <v>45627</v>
      </c>
      <c r="AG17" s="73">
        <f>calcs!AD3</f>
        <v>45597</v>
      </c>
      <c r="AH17" s="73">
        <f>calcs!AE3</f>
        <v>45566</v>
      </c>
      <c r="AI17" s="73" t="s">
        <v>0</v>
      </c>
      <c r="AJ17"/>
      <c r="AW17" s="97"/>
      <c r="AX17" s="97"/>
      <c r="AY17" s="3"/>
      <c r="BF17" s="97"/>
      <c r="BG17" s="97"/>
      <c r="BH17" s="3"/>
      <c r="BO17" s="97"/>
      <c r="BP17" s="97"/>
      <c r="BQ17" s="3"/>
      <c r="BX17" s="97"/>
      <c r="BY17" s="97"/>
      <c r="BZ17" s="3"/>
      <c r="CG17" s="97"/>
      <c r="CH17" s="97"/>
      <c r="CI17" s="3"/>
      <c r="CP17" s="97"/>
      <c r="CQ17" s="97"/>
      <c r="CR17" s="3"/>
      <c r="CY17" s="97"/>
      <c r="CZ17" s="97"/>
      <c r="DA17" s="3"/>
      <c r="DH17" s="97"/>
      <c r="DI17" s="97"/>
      <c r="DJ17" s="3"/>
      <c r="DQ17" s="97"/>
      <c r="DR17" s="97"/>
      <c r="DS17" s="3"/>
      <c r="DZ17" s="97"/>
      <c r="EA17" s="97"/>
      <c r="EB17" s="3"/>
      <c r="EI17" s="97"/>
      <c r="EJ17" s="97"/>
      <c r="EK17" s="3"/>
      <c r="ER17" s="97"/>
      <c r="ES17" s="97"/>
      <c r="ET17" s="3"/>
      <c r="FA17" s="97"/>
      <c r="FB17" s="97"/>
      <c r="FC17" s="3"/>
      <c r="FJ17" s="97"/>
      <c r="FK17" s="97"/>
      <c r="FL17" s="3"/>
      <c r="FS17" s="97"/>
      <c r="FT17" s="97"/>
      <c r="FU17" s="3"/>
      <c r="GB17" s="97"/>
      <c r="GC17" s="97"/>
      <c r="GD17" s="3"/>
      <c r="GK17" s="97"/>
      <c r="GL17" s="97"/>
      <c r="GM17" s="3"/>
      <c r="GT17" s="97"/>
      <c r="GU17" s="97"/>
      <c r="GV17" s="3"/>
      <c r="HC17" s="97"/>
      <c r="HD17" s="97"/>
      <c r="HE17" s="3"/>
      <c r="HL17" s="97"/>
      <c r="HM17" s="97"/>
      <c r="HN17" s="3"/>
      <c r="HU17" s="97"/>
      <c r="HV17" s="97"/>
      <c r="HW17" s="3"/>
      <c r="ID17" s="97"/>
      <c r="IE17" s="97"/>
      <c r="IF17" s="3"/>
      <c r="IG17" s="23"/>
      <c r="IH17" s="23"/>
      <c r="II17" s="23"/>
      <c r="IJ17" s="23"/>
      <c r="IK17" s="23"/>
      <c r="IL17" s="23"/>
      <c r="IM17" s="101"/>
      <c r="IN17" s="101"/>
      <c r="IO17" s="3"/>
      <c r="IV17" s="97"/>
      <c r="IW17" s="97"/>
      <c r="IX17" s="3"/>
      <c r="JE17" s="97"/>
      <c r="JF17" s="97"/>
      <c r="JG17" s="3"/>
      <c r="JN17" s="97"/>
      <c r="JO17" s="97"/>
      <c r="JP17" s="3"/>
      <c r="JW17" s="97"/>
      <c r="JX17" s="97"/>
      <c r="JY17" s="3"/>
      <c r="KF17" s="97"/>
      <c r="KG17" s="97"/>
      <c r="KH17" s="3"/>
      <c r="KO17" s="97"/>
      <c r="KP17" s="97"/>
      <c r="KQ17" s="3"/>
      <c r="KX17" s="97"/>
      <c r="KY17" s="97"/>
      <c r="KZ17" s="3"/>
      <c r="LG17" s="97"/>
      <c r="LH17" s="97"/>
      <c r="LI17" s="3"/>
      <c r="LP17" s="97"/>
      <c r="LQ17" s="97"/>
      <c r="LR17" s="3"/>
      <c r="LY17" s="97"/>
      <c r="LZ17" s="97"/>
      <c r="MA17" s="3"/>
      <c r="MH17" s="97"/>
      <c r="MI17" s="97"/>
      <c r="MJ17" s="3"/>
      <c r="MQ17" s="97"/>
      <c r="MR17" s="97"/>
      <c r="MS17" s="3"/>
      <c r="MZ17" s="97"/>
      <c r="NA17" s="97"/>
      <c r="NB17" s="3"/>
      <c r="NI17" s="97"/>
      <c r="NJ17" s="97"/>
      <c r="NK17" s="3"/>
      <c r="NR17" s="97"/>
      <c r="NS17" s="97"/>
      <c r="NT17" s="3"/>
      <c r="OA17" s="97"/>
      <c r="OB17" s="97"/>
      <c r="OC17" s="3"/>
      <c r="OJ17" s="97"/>
      <c r="OK17" s="97"/>
      <c r="OL17" s="3"/>
      <c r="OS17" s="97"/>
      <c r="OT17" s="97"/>
      <c r="OU17" s="3"/>
      <c r="PB17" s="97"/>
      <c r="PC17" s="97"/>
      <c r="PD17" s="3"/>
      <c r="PK17" s="97"/>
      <c r="PL17" s="97"/>
      <c r="PM17" s="3"/>
      <c r="PT17" s="97"/>
      <c r="PU17" s="97"/>
      <c r="PV17" s="3"/>
      <c r="QC17" s="97"/>
      <c r="QD17" s="97"/>
      <c r="QE17" s="3"/>
      <c r="QL17" s="97"/>
      <c r="QM17" s="97"/>
      <c r="QN17" s="3"/>
      <c r="QU17" s="97"/>
      <c r="QV17" s="97"/>
      <c r="QW17" s="3"/>
      <c r="RD17" s="97"/>
      <c r="RE17" s="97"/>
      <c r="RF17" s="3"/>
      <c r="RM17" s="97"/>
      <c r="RN17" s="97"/>
      <c r="RO17" s="3"/>
      <c r="RV17" s="97"/>
      <c r="RW17" s="97"/>
      <c r="RX17" s="3"/>
      <c r="SE17" s="97"/>
      <c r="SF17" s="97"/>
      <c r="SG17" s="3"/>
      <c r="SN17" s="97"/>
      <c r="SO17" s="97"/>
      <c r="SP17" s="3"/>
      <c r="SW17" s="97"/>
      <c r="SX17" s="97"/>
      <c r="SY17" s="3"/>
      <c r="TF17" s="97"/>
      <c r="TG17" s="97"/>
      <c r="TH17" s="3"/>
      <c r="TO17" s="97"/>
      <c r="TP17" s="97"/>
      <c r="TQ17" s="3"/>
      <c r="TX17" s="97"/>
      <c r="TY17" s="97"/>
      <c r="TZ17" s="3"/>
      <c r="UG17" s="97"/>
      <c r="UH17" s="97"/>
      <c r="UI17" s="3"/>
      <c r="UP17" s="97"/>
      <c r="UQ17" s="97"/>
      <c r="UR17" s="3"/>
      <c r="UY17" s="97"/>
      <c r="UZ17" s="97"/>
      <c r="VA17" s="3"/>
      <c r="VH17" s="97"/>
      <c r="VI17" s="97"/>
      <c r="VJ17" s="3"/>
      <c r="VQ17" s="97"/>
      <c r="VR17" s="97"/>
      <c r="VS17" s="3"/>
      <c r="VZ17" s="97"/>
      <c r="WA17" s="97"/>
      <c r="WB17" s="3"/>
      <c r="WI17" s="97"/>
      <c r="WJ17" s="97"/>
      <c r="WK17" s="3"/>
      <c r="WR17" s="97"/>
      <c r="WS17" s="97"/>
      <c r="WT17" s="3"/>
      <c r="XA17" s="97"/>
      <c r="XB17" s="97"/>
      <c r="XC17" s="3"/>
      <c r="XJ17" s="97"/>
      <c r="XK17" s="97"/>
      <c r="XL17" s="3"/>
      <c r="XS17" s="97"/>
      <c r="XT17" s="97"/>
      <c r="XU17" s="3"/>
      <c r="YB17" s="97"/>
      <c r="YC17" s="97"/>
      <c r="YD17" s="3"/>
      <c r="YK17" s="97"/>
      <c r="YL17" s="97"/>
      <c r="YM17" s="3"/>
      <c r="YT17" s="97"/>
      <c r="YU17" s="97"/>
      <c r="YV17" s="3"/>
      <c r="ZC17" s="97"/>
      <c r="ZD17" s="97"/>
      <c r="ZE17" s="3"/>
      <c r="ZL17" s="97"/>
      <c r="ZM17" s="97"/>
      <c r="ZN17" s="3"/>
      <c r="ZU17" s="97"/>
      <c r="ZV17" s="97"/>
      <c r="ZW17" s="3"/>
      <c r="AAD17" s="97"/>
      <c r="AAE17" s="97"/>
      <c r="AAF17" s="3"/>
      <c r="AAM17" s="97"/>
      <c r="AAN17" s="97"/>
      <c r="AAO17" s="3"/>
      <c r="AAV17" s="97"/>
      <c r="AAW17" s="97"/>
      <c r="AAX17" s="3"/>
      <c r="ABE17" s="97"/>
      <c r="ABF17" s="97"/>
      <c r="ABG17" s="3"/>
      <c r="ABN17" s="97"/>
      <c r="ABO17" s="97"/>
      <c r="ABP17" s="3"/>
      <c r="ABW17" s="97"/>
      <c r="ABX17" s="97"/>
      <c r="ABY17" s="3"/>
      <c r="ACF17" s="97"/>
      <c r="ACG17" s="97"/>
      <c r="ACH17" s="3"/>
      <c r="ACO17" s="97"/>
      <c r="ACP17" s="97"/>
      <c r="ACQ17" s="3"/>
      <c r="ACX17" s="97"/>
      <c r="ACY17" s="97"/>
      <c r="ACZ17" s="3"/>
      <c r="ADG17" s="97"/>
      <c r="ADH17" s="97"/>
      <c r="ADI17" s="3"/>
      <c r="ADP17" s="97"/>
      <c r="ADQ17" s="97"/>
      <c r="ADR17" s="3"/>
      <c r="ADY17" s="97"/>
      <c r="ADZ17" s="97"/>
      <c r="AEA17" s="3"/>
      <c r="AEH17" s="97"/>
      <c r="AEI17" s="97"/>
      <c r="AEJ17" s="3"/>
      <c r="AEQ17" s="97"/>
      <c r="AER17" s="97"/>
      <c r="AES17" s="3"/>
      <c r="AEZ17" s="97"/>
      <c r="AFA17" s="97"/>
      <c r="AFB17" s="3"/>
      <c r="AFI17" s="97"/>
      <c r="AFJ17" s="97"/>
      <c r="AFK17" s="3"/>
      <c r="AFR17" s="97"/>
      <c r="AFS17" s="97"/>
      <c r="AFT17" s="3"/>
      <c r="AGA17" s="97"/>
      <c r="AGB17" s="97"/>
      <c r="AGC17" s="3"/>
      <c r="AGJ17" s="97"/>
      <c r="AGK17" s="97"/>
      <c r="AGL17" s="3"/>
      <c r="AGS17" s="97"/>
      <c r="AGT17" s="97"/>
      <c r="AGU17" s="3"/>
      <c r="AHB17" s="97"/>
      <c r="AHC17" s="97"/>
      <c r="AHD17" s="3"/>
      <c r="AHK17" s="97"/>
      <c r="AHL17" s="97"/>
      <c r="AHM17" s="3"/>
      <c r="AHT17" s="97"/>
      <c r="AHU17" s="97"/>
      <c r="AHV17" s="3"/>
      <c r="AIC17" s="97"/>
      <c r="AID17" s="97"/>
      <c r="AIE17" s="3"/>
      <c r="AIL17" s="97"/>
      <c r="AIM17" s="97"/>
      <c r="AIN17" s="3"/>
      <c r="AIU17" s="97"/>
      <c r="AIV17" s="97"/>
      <c r="AIW17" s="3"/>
      <c r="AJD17" s="97"/>
      <c r="AJE17" s="97"/>
      <c r="AJF17" s="3"/>
      <c r="AJM17" s="97"/>
      <c r="AJN17" s="97"/>
      <c r="AJO17" s="3"/>
      <c r="AJV17" s="97"/>
      <c r="AJW17" s="97"/>
      <c r="AJX17" s="3"/>
      <c r="AKE17" s="97"/>
      <c r="AKF17" s="97"/>
      <c r="AKG17" s="3"/>
      <c r="AKN17" s="97"/>
      <c r="AKO17" s="97"/>
      <c r="AKP17" s="3"/>
      <c r="AKW17" s="97"/>
      <c r="AKX17" s="97"/>
      <c r="AKY17" s="3"/>
      <c r="ALF17" s="97"/>
      <c r="ALG17" s="97"/>
      <c r="ALH17" s="3"/>
      <c r="ALO17" s="97"/>
      <c r="ALP17" s="97"/>
      <c r="ALQ17" s="3"/>
      <c r="ALX17" s="97"/>
      <c r="ALY17" s="97"/>
      <c r="ALZ17" s="3"/>
      <c r="AMG17" s="97"/>
      <c r="AMH17" s="97"/>
      <c r="AMI17" s="3"/>
      <c r="AMP17" s="97"/>
      <c r="AMQ17" s="97"/>
      <c r="AMR17" s="3"/>
      <c r="AMY17" s="97"/>
      <c r="AMZ17" s="97"/>
      <c r="ANA17" s="3"/>
      <c r="ANH17" s="97"/>
      <c r="ANI17" s="97"/>
      <c r="ANJ17" s="3"/>
      <c r="ANQ17" s="97"/>
      <c r="ANR17" s="97"/>
      <c r="ANS17" s="3"/>
      <c r="ANZ17" s="97"/>
      <c r="AOA17" s="97"/>
      <c r="AOB17" s="3"/>
      <c r="AOI17" s="97"/>
      <c r="AOJ17" s="97"/>
      <c r="AOK17" s="3"/>
      <c r="AOR17" s="97"/>
      <c r="AOS17" s="97"/>
      <c r="AOT17" s="3"/>
      <c r="APA17" s="97"/>
      <c r="APB17" s="97"/>
      <c r="APC17" s="3"/>
      <c r="APJ17" s="97"/>
      <c r="APK17" s="97"/>
      <c r="APL17" s="3"/>
      <c r="APS17" s="97"/>
      <c r="APT17" s="97"/>
      <c r="APU17" s="3"/>
      <c r="AQB17" s="97"/>
      <c r="AQC17" s="97"/>
      <c r="AQD17" s="3"/>
      <c r="AQK17" s="97"/>
      <c r="AQL17" s="97"/>
      <c r="AQM17" s="3"/>
      <c r="AQT17" s="97"/>
      <c r="AQU17" s="97"/>
      <c r="AQV17" s="3"/>
      <c r="ARC17" s="97"/>
      <c r="ARD17" s="97"/>
      <c r="ARE17" s="3"/>
      <c r="ARL17" s="97"/>
      <c r="ARM17" s="97"/>
      <c r="ARN17" s="3"/>
      <c r="ARU17" s="97"/>
      <c r="ARV17" s="97"/>
      <c r="ARW17" s="3"/>
      <c r="ASD17" s="97"/>
      <c r="ASE17" s="97"/>
      <c r="ASF17" s="3"/>
      <c r="ASM17" s="97"/>
      <c r="ASN17" s="97"/>
      <c r="ASO17" s="3"/>
      <c r="ASV17" s="97"/>
      <c r="ASW17" s="97"/>
      <c r="ASX17" s="3"/>
      <c r="ATE17" s="97"/>
      <c r="ATF17" s="97"/>
      <c r="ATG17" s="3"/>
      <c r="ATN17" s="97"/>
      <c r="ATO17" s="97"/>
      <c r="ATP17" s="3"/>
      <c r="ATW17" s="97"/>
      <c r="ATX17" s="97"/>
      <c r="ATY17" s="3"/>
      <c r="AUF17" s="97"/>
      <c r="AUG17" s="97"/>
      <c r="AUH17" s="3"/>
      <c r="AUO17" s="97"/>
      <c r="AUP17" s="97"/>
      <c r="AUQ17" s="3"/>
      <c r="AUX17" s="97"/>
      <c r="AUY17" s="97"/>
      <c r="AUZ17" s="3"/>
      <c r="AVG17" s="97"/>
      <c r="AVH17" s="97"/>
      <c r="AVI17" s="3"/>
      <c r="AVP17" s="97"/>
      <c r="AVQ17" s="97"/>
      <c r="AVR17" s="3"/>
      <c r="AVY17" s="97"/>
      <c r="AVZ17" s="97"/>
      <c r="AWA17" s="3"/>
      <c r="AWH17" s="97"/>
      <c r="AWI17" s="97"/>
      <c r="AWJ17" s="3"/>
      <c r="AWQ17" s="97"/>
      <c r="AWR17" s="97"/>
      <c r="AWS17" s="3"/>
      <c r="AWZ17" s="97"/>
      <c r="AXA17" s="97"/>
      <c r="AXB17" s="3"/>
      <c r="AXI17" s="97"/>
      <c r="AXJ17" s="97"/>
      <c r="AXK17" s="3"/>
      <c r="AXR17" s="97"/>
      <c r="AXS17" s="97"/>
      <c r="AXT17" s="3"/>
      <c r="AYA17" s="97"/>
      <c r="AYB17" s="97"/>
      <c r="AYC17" s="3"/>
      <c r="AYJ17" s="97"/>
      <c r="AYK17" s="97"/>
      <c r="AYL17" s="3"/>
      <c r="AYS17" s="97"/>
      <c r="AYT17" s="97"/>
      <c r="AYU17" s="3"/>
      <c r="AZB17" s="97"/>
      <c r="AZC17" s="97"/>
      <c r="AZD17" s="3"/>
      <c r="AZK17" s="97"/>
      <c r="AZL17" s="97"/>
      <c r="AZM17" s="3"/>
      <c r="AZT17" s="97"/>
      <c r="AZU17" s="97"/>
      <c r="AZV17" s="3"/>
      <c r="BAC17" s="97"/>
      <c r="BAD17" s="97"/>
      <c r="BAE17" s="3"/>
      <c r="BAL17" s="97"/>
      <c r="BAM17" s="97"/>
      <c r="BAN17" s="3"/>
      <c r="BAU17" s="97"/>
      <c r="BAV17" s="97"/>
      <c r="BAW17" s="3"/>
      <c r="BBD17" s="97"/>
      <c r="BBE17" s="97"/>
      <c r="BBF17" s="3"/>
      <c r="BBM17" s="97"/>
      <c r="BBN17" s="97"/>
      <c r="BBO17" s="3"/>
      <c r="BBV17" s="97"/>
      <c r="BBW17" s="97"/>
      <c r="BBX17" s="3"/>
      <c r="BCE17" s="97"/>
      <c r="BCF17" s="97"/>
      <c r="BCG17" s="3"/>
      <c r="BCN17" s="97"/>
      <c r="BCO17" s="97"/>
      <c r="BCP17" s="3"/>
      <c r="BCW17" s="97"/>
      <c r="BCX17" s="97"/>
      <c r="BCY17" s="3"/>
      <c r="BDF17" s="97"/>
      <c r="BDG17" s="97"/>
      <c r="BDH17" s="3"/>
      <c r="BDO17" s="97"/>
      <c r="BDP17" s="97"/>
      <c r="BDQ17" s="3"/>
      <c r="BDX17" s="97"/>
      <c r="BDY17" s="97"/>
      <c r="BDZ17" s="3"/>
      <c r="BEG17" s="97"/>
      <c r="BEH17" s="97"/>
      <c r="BEI17" s="3"/>
      <c r="BEP17" s="97"/>
      <c r="BEQ17" s="97"/>
      <c r="BER17" s="3"/>
      <c r="BEY17" s="97"/>
      <c r="BEZ17" s="97"/>
      <c r="BFA17" s="3"/>
      <c r="BFH17" s="97"/>
      <c r="BFI17" s="97"/>
      <c r="BFJ17" s="3"/>
      <c r="BFQ17" s="97"/>
      <c r="BFR17" s="97"/>
      <c r="BFS17" s="3"/>
      <c r="BFZ17" s="97"/>
      <c r="BGA17" s="97"/>
      <c r="BGB17" s="3"/>
      <c r="BGI17" s="97"/>
      <c r="BGJ17" s="97"/>
      <c r="BGK17" s="3"/>
      <c r="BGR17" s="97"/>
      <c r="BGS17" s="97"/>
      <c r="BGT17" s="3"/>
      <c r="BHA17" s="97"/>
      <c r="BHB17" s="97"/>
      <c r="BHC17" s="3"/>
      <c r="BHJ17" s="97"/>
      <c r="BHK17" s="97"/>
      <c r="BHL17" s="3"/>
      <c r="BHS17" s="97"/>
      <c r="BHT17" s="97"/>
      <c r="BHU17" s="3"/>
      <c r="BIB17" s="97"/>
      <c r="BIC17" s="97"/>
      <c r="BID17" s="3"/>
      <c r="BIK17" s="97"/>
      <c r="BIL17" s="97"/>
      <c r="BIM17" s="3"/>
      <c r="BIT17" s="97"/>
      <c r="BIU17" s="97"/>
      <c r="BIV17" s="3"/>
      <c r="BJC17" s="97"/>
      <c r="BJD17" s="97"/>
      <c r="BJE17" s="3"/>
      <c r="BJL17" s="97"/>
      <c r="BJM17" s="97"/>
      <c r="BJN17" s="3"/>
      <c r="BJU17" s="97"/>
      <c r="BJV17" s="97"/>
      <c r="BJW17" s="3"/>
      <c r="BKD17" s="97"/>
      <c r="BKE17" s="97"/>
      <c r="BKF17" s="3"/>
      <c r="BKM17" s="97"/>
      <c r="BKN17" s="97"/>
      <c r="BKO17" s="3"/>
      <c r="BKV17" s="97"/>
      <c r="BKW17" s="97"/>
      <c r="BKX17" s="3"/>
      <c r="BLE17" s="97"/>
      <c r="BLF17" s="97"/>
      <c r="BLG17" s="3"/>
      <c r="BLN17" s="97"/>
      <c r="BLO17" s="97"/>
      <c r="BLP17" s="3"/>
      <c r="BLW17" s="97"/>
      <c r="BLX17" s="97"/>
      <c r="BLY17" s="3"/>
      <c r="BMF17" s="97"/>
      <c r="BMG17" s="97"/>
      <c r="BMH17" s="3"/>
      <c r="BMO17" s="97"/>
      <c r="BMP17" s="97"/>
      <c r="BMQ17" s="3"/>
      <c r="BMX17" s="97"/>
      <c r="BMY17" s="97"/>
      <c r="BMZ17" s="3"/>
      <c r="BNG17" s="97"/>
      <c r="BNH17" s="97"/>
      <c r="BNI17" s="3"/>
      <c r="BNP17" s="97"/>
      <c r="BNQ17" s="97"/>
      <c r="BNR17" s="3"/>
      <c r="BNY17" s="97"/>
      <c r="BNZ17" s="97"/>
      <c r="BOA17" s="3"/>
      <c r="BOH17" s="97"/>
      <c r="BOI17" s="97"/>
      <c r="BOJ17" s="3"/>
      <c r="BOQ17" s="97"/>
      <c r="BOR17" s="97"/>
      <c r="BOS17" s="3"/>
      <c r="BOZ17" s="97"/>
      <c r="BPA17" s="97"/>
      <c r="BPB17" s="3"/>
      <c r="BPI17" s="97"/>
      <c r="BPJ17" s="97"/>
      <c r="BPK17" s="3"/>
      <c r="BPR17" s="97"/>
      <c r="BPS17" s="97"/>
      <c r="BPT17" s="3"/>
      <c r="BQA17" s="97"/>
      <c r="BQB17" s="97"/>
      <c r="BQC17" s="3"/>
      <c r="BQJ17" s="97"/>
      <c r="BQK17" s="97"/>
      <c r="BQL17" s="3"/>
      <c r="BQS17" s="97"/>
      <c r="BQT17" s="97"/>
      <c r="BQU17" s="3"/>
      <c r="BRB17" s="97"/>
      <c r="BRC17" s="97"/>
      <c r="BRD17" s="3"/>
      <c r="BRK17" s="97"/>
      <c r="BRL17" s="97"/>
      <c r="BRM17" s="3"/>
      <c r="BRT17" s="97"/>
      <c r="BRU17" s="97"/>
      <c r="BRV17" s="3"/>
      <c r="BSC17" s="97"/>
      <c r="BSD17" s="97"/>
      <c r="BSE17" s="3"/>
      <c r="BSL17" s="97"/>
      <c r="BSM17" s="97"/>
      <c r="BSN17" s="3"/>
      <c r="BSU17" s="97"/>
      <c r="BSV17" s="97"/>
      <c r="BSW17" s="3"/>
      <c r="BTD17" s="97"/>
      <c r="BTE17" s="97"/>
      <c r="BTF17" s="3"/>
      <c r="BTM17" s="97"/>
      <c r="BTN17" s="97"/>
      <c r="BTO17" s="3"/>
      <c r="BTV17" s="97"/>
      <c r="BTW17" s="97"/>
      <c r="BTX17" s="3"/>
      <c r="BUE17" s="97"/>
      <c r="BUF17" s="97"/>
      <c r="BUG17" s="3"/>
      <c r="BUN17" s="97"/>
      <c r="BUO17" s="97"/>
      <c r="BUP17" s="3"/>
      <c r="BUW17" s="97"/>
      <c r="BUX17" s="97"/>
      <c r="BUY17" s="3"/>
      <c r="BVF17" s="97"/>
      <c r="BVG17" s="97"/>
      <c r="BVH17" s="3"/>
      <c r="BVO17" s="97"/>
      <c r="BVP17" s="97"/>
      <c r="BVQ17" s="3"/>
      <c r="BVX17" s="97"/>
      <c r="BVY17" s="97"/>
      <c r="BVZ17" s="3"/>
      <c r="BWG17" s="97"/>
      <c r="BWH17" s="97"/>
      <c r="BWI17" s="3"/>
      <c r="BWP17" s="97"/>
      <c r="BWQ17" s="97"/>
      <c r="BWR17" s="3"/>
      <c r="BWY17" s="97"/>
      <c r="BWZ17" s="97"/>
      <c r="BXA17" s="3"/>
      <c r="BXH17" s="97"/>
      <c r="BXI17" s="97"/>
      <c r="BXJ17" s="3"/>
      <c r="BXQ17" s="97"/>
      <c r="BXR17" s="97"/>
      <c r="BXS17" s="3"/>
      <c r="BXZ17" s="97"/>
      <c r="BYA17" s="97"/>
      <c r="BYB17" s="3"/>
      <c r="BYI17" s="97"/>
      <c r="BYJ17" s="97"/>
      <c r="BYK17" s="3"/>
      <c r="BYR17" s="97"/>
      <c r="BYS17" s="97"/>
      <c r="BYT17" s="3"/>
      <c r="BZA17" s="97"/>
      <c r="BZB17" s="97"/>
      <c r="BZC17" s="3"/>
      <c r="BZJ17" s="97"/>
      <c r="BZK17" s="97"/>
      <c r="BZL17" s="3"/>
      <c r="BZS17" s="97"/>
      <c r="BZT17" s="97"/>
      <c r="BZU17" s="3"/>
      <c r="CAB17" s="97"/>
      <c r="CAC17" s="97"/>
      <c r="CAD17" s="3"/>
      <c r="CAK17" s="97"/>
      <c r="CAL17" s="97"/>
      <c r="CAM17" s="3"/>
      <c r="CAT17" s="97"/>
      <c r="CAU17" s="97"/>
      <c r="CAV17" s="3"/>
      <c r="CBC17" s="97"/>
      <c r="CBD17" s="97"/>
      <c r="CBE17" s="3"/>
      <c r="CBL17" s="97"/>
      <c r="CBM17" s="97"/>
      <c r="CBN17" s="3"/>
      <c r="CBU17" s="97"/>
      <c r="CBV17" s="97"/>
      <c r="CBW17" s="3"/>
      <c r="CCD17" s="97"/>
      <c r="CCE17" s="97"/>
      <c r="CCF17" s="3"/>
      <c r="CCM17" s="97"/>
      <c r="CCN17" s="97"/>
      <c r="CCO17" s="3"/>
      <c r="CCV17" s="97"/>
      <c r="CCW17" s="97"/>
      <c r="CCX17" s="3"/>
      <c r="CDE17" s="97"/>
      <c r="CDF17" s="97"/>
      <c r="CDG17" s="3"/>
      <c r="CDN17" s="97"/>
      <c r="CDO17" s="97"/>
      <c r="CDP17" s="3"/>
      <c r="CDW17" s="97"/>
      <c r="CDX17" s="97"/>
      <c r="CDY17" s="3"/>
      <c r="CEF17" s="97"/>
      <c r="CEG17" s="97"/>
      <c r="CEH17" s="3"/>
      <c r="CEO17" s="97"/>
      <c r="CEP17" s="97"/>
      <c r="CEQ17" s="3"/>
      <c r="CEX17" s="97"/>
      <c r="CEY17" s="97"/>
      <c r="CEZ17" s="3"/>
      <c r="CFG17" s="97"/>
      <c r="CFH17" s="97"/>
      <c r="CFI17" s="3"/>
      <c r="CFP17" s="97"/>
      <c r="CFQ17" s="97"/>
      <c r="CFR17" s="3"/>
      <c r="CFY17" s="97"/>
      <c r="CFZ17" s="97"/>
      <c r="CGA17" s="3"/>
      <c r="CGH17" s="97"/>
      <c r="CGI17" s="97"/>
      <c r="CGJ17" s="3"/>
      <c r="CGQ17" s="97"/>
      <c r="CGR17" s="97"/>
      <c r="CGS17" s="3"/>
      <c r="CGZ17" s="97"/>
      <c r="CHA17" s="97"/>
      <c r="CHB17" s="3"/>
      <c r="CHI17" s="97"/>
      <c r="CHJ17" s="97"/>
      <c r="CHK17" s="3"/>
      <c r="CHR17" s="97"/>
      <c r="CHS17" s="97"/>
      <c r="CHT17" s="3"/>
      <c r="CIA17" s="97"/>
      <c r="CIB17" s="97"/>
      <c r="CIC17" s="3"/>
      <c r="CIJ17" s="97"/>
      <c r="CIK17" s="97"/>
      <c r="CIL17" s="3"/>
      <c r="CIS17" s="97"/>
      <c r="CIT17" s="97"/>
      <c r="CIU17" s="3"/>
      <c r="CJB17" s="97"/>
      <c r="CJC17" s="97"/>
      <c r="CJD17" s="3"/>
      <c r="CJK17" s="97"/>
      <c r="CJL17" s="97"/>
      <c r="CJM17" s="3"/>
      <c r="CJT17" s="97"/>
      <c r="CJU17" s="97"/>
      <c r="CJV17" s="3"/>
      <c r="CKC17" s="97"/>
      <c r="CKD17" s="97"/>
      <c r="CKE17" s="3"/>
      <c r="CKL17" s="97"/>
      <c r="CKM17" s="97"/>
      <c r="CKN17" s="3"/>
      <c r="CKU17" s="97"/>
      <c r="CKV17" s="97"/>
      <c r="CKW17" s="3"/>
      <c r="CLD17" s="97"/>
      <c r="CLE17" s="97"/>
      <c r="CLF17" s="3"/>
      <c r="CLM17" s="97"/>
      <c r="CLN17" s="97"/>
      <c r="CLO17" s="3"/>
      <c r="CLV17" s="97"/>
      <c r="CLW17" s="97"/>
      <c r="CLX17" s="3"/>
      <c r="CME17" s="97"/>
      <c r="CMF17" s="97"/>
      <c r="CMG17" s="3"/>
      <c r="CMN17" s="97"/>
      <c r="CMO17" s="97"/>
      <c r="CMP17" s="3"/>
      <c r="CMW17" s="97"/>
      <c r="CMX17" s="97"/>
      <c r="CMY17" s="3"/>
      <c r="CNF17" s="97"/>
      <c r="CNG17" s="97"/>
      <c r="CNH17" s="3"/>
      <c r="CNO17" s="97"/>
      <c r="CNP17" s="97"/>
      <c r="CNQ17" s="3"/>
      <c r="CNX17" s="97"/>
      <c r="CNY17" s="97"/>
      <c r="CNZ17" s="3"/>
      <c r="COG17" s="97"/>
      <c r="COH17" s="97"/>
      <c r="COI17" s="3"/>
      <c r="COP17" s="97"/>
      <c r="COQ17" s="97"/>
      <c r="COR17" s="3"/>
      <c r="COY17" s="97"/>
      <c r="COZ17" s="97"/>
      <c r="CPA17" s="3"/>
      <c r="CPH17" s="97"/>
      <c r="CPI17" s="97"/>
      <c r="CPJ17" s="3"/>
      <c r="CPQ17" s="97"/>
      <c r="CPR17" s="97"/>
      <c r="CPS17" s="3"/>
      <c r="CPZ17" s="97"/>
      <c r="CQA17" s="97"/>
      <c r="CQB17" s="3"/>
      <c r="CQI17" s="97"/>
      <c r="CQJ17" s="97"/>
      <c r="CQK17" s="3"/>
      <c r="CQR17" s="97"/>
      <c r="CQS17" s="97"/>
      <c r="CQT17" s="3"/>
      <c r="CRA17" s="97"/>
      <c r="CRB17" s="97"/>
      <c r="CRC17" s="3"/>
      <c r="CRJ17" s="97"/>
      <c r="CRK17" s="97"/>
      <c r="CRL17" s="3"/>
      <c r="CRS17" s="97"/>
      <c r="CRT17" s="97"/>
      <c r="CRU17" s="3"/>
      <c r="CSB17" s="97"/>
      <c r="CSC17" s="97"/>
      <c r="CSD17" s="3"/>
      <c r="CSK17" s="97"/>
      <c r="CSL17" s="97"/>
      <c r="CSM17" s="3"/>
      <c r="CST17" s="97"/>
      <c r="CSU17" s="97"/>
      <c r="CSV17" s="3"/>
      <c r="CTC17" s="97"/>
      <c r="CTD17" s="97"/>
      <c r="CTE17" s="3"/>
      <c r="CTL17" s="97"/>
      <c r="CTM17" s="97"/>
      <c r="CTN17" s="3"/>
      <c r="CTU17" s="97"/>
      <c r="CTV17" s="97"/>
      <c r="CTW17" s="3"/>
      <c r="CUD17" s="97"/>
      <c r="CUE17" s="97"/>
      <c r="CUF17" s="3"/>
      <c r="CUM17" s="97"/>
      <c r="CUN17" s="97"/>
      <c r="CUO17" s="3"/>
      <c r="CUV17" s="97"/>
      <c r="CUW17" s="97"/>
      <c r="CUX17" s="3"/>
      <c r="CVE17" s="97"/>
      <c r="CVF17" s="97"/>
      <c r="CVG17" s="3"/>
      <c r="CVN17" s="97"/>
      <c r="CVO17" s="97"/>
      <c r="CVP17" s="3"/>
      <c r="CVW17" s="97"/>
      <c r="CVX17" s="97"/>
      <c r="CVY17" s="3"/>
      <c r="CWF17" s="97"/>
      <c r="CWG17" s="97"/>
      <c r="CWH17" s="3"/>
      <c r="CWO17" s="97"/>
      <c r="CWP17" s="97"/>
      <c r="CWQ17" s="3"/>
      <c r="CWX17" s="97"/>
      <c r="CWY17" s="97"/>
      <c r="CWZ17" s="3"/>
      <c r="CXG17" s="97"/>
      <c r="CXH17" s="97"/>
      <c r="CXI17" s="3"/>
      <c r="CXP17" s="97"/>
      <c r="CXQ17" s="97"/>
      <c r="CXR17" s="3"/>
      <c r="CXY17" s="97"/>
      <c r="CXZ17" s="97"/>
      <c r="CYA17" s="3"/>
      <c r="CYH17" s="97"/>
      <c r="CYI17" s="97"/>
      <c r="CYJ17" s="3"/>
      <c r="CYQ17" s="97"/>
      <c r="CYR17" s="97"/>
      <c r="CYS17" s="3"/>
      <c r="CYZ17" s="97"/>
      <c r="CZA17" s="97"/>
      <c r="CZB17" s="3"/>
      <c r="CZI17" s="97"/>
      <c r="CZJ17" s="97"/>
      <c r="CZK17" s="3"/>
      <c r="CZR17" s="97"/>
      <c r="CZS17" s="97"/>
      <c r="CZT17" s="3"/>
      <c r="DAA17" s="97"/>
      <c r="DAB17" s="97"/>
      <c r="DAC17" s="3"/>
      <c r="DAJ17" s="97"/>
      <c r="DAK17" s="97"/>
      <c r="DAL17" s="3"/>
      <c r="DAS17" s="97"/>
      <c r="DAT17" s="97"/>
      <c r="DAU17" s="3"/>
      <c r="DBB17" s="97"/>
      <c r="DBC17" s="97"/>
      <c r="DBD17" s="3"/>
      <c r="DBK17" s="97"/>
      <c r="DBL17" s="97"/>
      <c r="DBM17" s="3"/>
      <c r="DBT17" s="97"/>
      <c r="DBU17" s="97"/>
      <c r="DBV17" s="3"/>
      <c r="DCC17" s="97"/>
      <c r="DCD17" s="97"/>
      <c r="DCE17" s="3"/>
      <c r="DCL17" s="97"/>
      <c r="DCM17" s="97"/>
      <c r="DCN17" s="3"/>
      <c r="DCU17" s="97"/>
      <c r="DCV17" s="97"/>
      <c r="DCW17" s="3"/>
      <c r="DDD17" s="97"/>
      <c r="DDE17" s="97"/>
      <c r="DDF17" s="3"/>
      <c r="DDM17" s="97"/>
      <c r="DDN17" s="97"/>
      <c r="DDO17" s="3"/>
      <c r="DDV17" s="97"/>
      <c r="DDW17" s="97"/>
      <c r="DDX17" s="3"/>
      <c r="DEE17" s="97"/>
      <c r="DEF17" s="97"/>
      <c r="DEG17" s="3"/>
      <c r="DEN17" s="97"/>
      <c r="DEO17" s="97"/>
      <c r="DEP17" s="3"/>
      <c r="DEW17" s="97"/>
      <c r="DEX17" s="97"/>
      <c r="DEY17" s="3"/>
      <c r="DFF17" s="97"/>
      <c r="DFG17" s="97"/>
      <c r="DFH17" s="3"/>
      <c r="DFO17" s="97"/>
      <c r="DFP17" s="97"/>
      <c r="DFQ17" s="3"/>
      <c r="DFX17" s="97"/>
      <c r="DFY17" s="97"/>
      <c r="DFZ17" s="3"/>
      <c r="DGG17" s="97"/>
      <c r="DGH17" s="97"/>
      <c r="DGI17" s="3"/>
      <c r="DGP17" s="97"/>
      <c r="DGQ17" s="97"/>
      <c r="DGR17" s="3"/>
      <c r="DGY17" s="97"/>
      <c r="DGZ17" s="97"/>
      <c r="DHA17" s="3"/>
      <c r="DHH17" s="97"/>
      <c r="DHI17" s="97"/>
      <c r="DHJ17" s="3"/>
      <c r="DHQ17" s="97"/>
      <c r="DHR17" s="97"/>
      <c r="DHS17" s="3"/>
      <c r="DHZ17" s="97"/>
      <c r="DIA17" s="97"/>
      <c r="DIB17" s="3"/>
      <c r="DII17" s="97"/>
      <c r="DIJ17" s="97"/>
      <c r="DIK17" s="3"/>
      <c r="DIR17" s="97"/>
      <c r="DIS17" s="97"/>
      <c r="DIT17" s="3"/>
      <c r="DJA17" s="97"/>
      <c r="DJB17" s="97"/>
      <c r="DJC17" s="3"/>
      <c r="DJJ17" s="97"/>
      <c r="DJK17" s="97"/>
      <c r="DJL17" s="3"/>
      <c r="DJS17" s="97"/>
      <c r="DJT17" s="97"/>
      <c r="DJU17" s="3"/>
      <c r="DKB17" s="97"/>
      <c r="DKC17" s="97"/>
      <c r="DKD17" s="3"/>
      <c r="DKK17" s="97"/>
      <c r="DKL17" s="97"/>
      <c r="DKM17" s="3"/>
      <c r="DKT17" s="97"/>
      <c r="DKU17" s="97"/>
      <c r="DKV17" s="3"/>
      <c r="DLC17" s="97"/>
      <c r="DLD17" s="97"/>
      <c r="DLE17" s="3"/>
      <c r="DLL17" s="97"/>
      <c r="DLM17" s="97"/>
      <c r="DLN17" s="3"/>
      <c r="DLU17" s="97"/>
      <c r="DLV17" s="97"/>
      <c r="DLW17" s="3"/>
      <c r="DMD17" s="97"/>
      <c r="DME17" s="97"/>
      <c r="DMF17" s="3"/>
      <c r="DMM17" s="97"/>
      <c r="DMN17" s="97"/>
      <c r="DMO17" s="3"/>
      <c r="DMV17" s="97"/>
      <c r="DMW17" s="97"/>
      <c r="DMX17" s="3"/>
      <c r="DNE17" s="97"/>
      <c r="DNF17" s="97"/>
      <c r="DNG17" s="3"/>
      <c r="DNN17" s="97"/>
      <c r="DNO17" s="97"/>
      <c r="DNP17" s="3"/>
      <c r="DNW17" s="97"/>
      <c r="DNX17" s="97"/>
      <c r="DNY17" s="3"/>
      <c r="DOF17" s="97"/>
      <c r="DOG17" s="97"/>
      <c r="DOH17" s="3"/>
      <c r="DOO17" s="97"/>
      <c r="DOP17" s="97"/>
      <c r="DOQ17" s="3"/>
      <c r="DOX17" s="97"/>
      <c r="DOY17" s="97"/>
      <c r="DOZ17" s="3"/>
      <c r="DPG17" s="97"/>
      <c r="DPH17" s="97"/>
      <c r="DPI17" s="3"/>
      <c r="DPP17" s="97"/>
      <c r="DPQ17" s="97"/>
      <c r="DPR17" s="3"/>
      <c r="DPY17" s="97"/>
      <c r="DPZ17" s="97"/>
      <c r="DQA17" s="3"/>
      <c r="DQH17" s="97"/>
      <c r="DQI17" s="97"/>
      <c r="DQJ17" s="3"/>
      <c r="DQQ17" s="97"/>
      <c r="DQR17" s="97"/>
      <c r="DQS17" s="3"/>
      <c r="DQZ17" s="97"/>
      <c r="DRA17" s="97"/>
      <c r="DRB17" s="3"/>
      <c r="DRI17" s="97"/>
      <c r="DRJ17" s="97"/>
      <c r="DRK17" s="3"/>
      <c r="DRR17" s="97"/>
      <c r="DRS17" s="97"/>
      <c r="DRT17" s="3"/>
      <c r="DSA17" s="97"/>
      <c r="DSB17" s="97"/>
      <c r="DSC17" s="3"/>
      <c r="DSJ17" s="97"/>
      <c r="DSK17" s="97"/>
      <c r="DSL17" s="3"/>
      <c r="DSS17" s="97"/>
      <c r="DST17" s="97"/>
      <c r="DSU17" s="3"/>
      <c r="DTB17" s="97"/>
      <c r="DTC17" s="97"/>
      <c r="DTD17" s="3"/>
      <c r="DTK17" s="97"/>
      <c r="DTL17" s="97"/>
      <c r="DTM17" s="3"/>
      <c r="DTT17" s="97"/>
      <c r="DTU17" s="97"/>
      <c r="DTV17" s="3"/>
      <c r="DUC17" s="97"/>
      <c r="DUD17" s="97"/>
      <c r="DUE17" s="3"/>
      <c r="DUL17" s="97"/>
      <c r="DUM17" s="97"/>
      <c r="DUN17" s="3"/>
      <c r="DUU17" s="97"/>
      <c r="DUV17" s="97"/>
      <c r="DUW17" s="3"/>
      <c r="DVD17" s="97"/>
      <c r="DVE17" s="97"/>
      <c r="DVF17" s="3"/>
      <c r="DVM17" s="97"/>
      <c r="DVN17" s="97"/>
      <c r="DVO17" s="3"/>
      <c r="DVV17" s="97"/>
      <c r="DVW17" s="97"/>
      <c r="DVX17" s="3"/>
      <c r="DWE17" s="97"/>
      <c r="DWF17" s="97"/>
      <c r="DWG17" s="3"/>
      <c r="DWN17" s="97"/>
      <c r="DWO17" s="97"/>
      <c r="DWP17" s="3"/>
      <c r="DWW17" s="97"/>
      <c r="DWX17" s="97"/>
      <c r="DWY17" s="3"/>
      <c r="DXF17" s="97"/>
      <c r="DXG17" s="97"/>
      <c r="DXH17" s="3"/>
      <c r="DXO17" s="97"/>
      <c r="DXP17" s="97"/>
      <c r="DXQ17" s="3"/>
      <c r="DXX17" s="97"/>
      <c r="DXY17" s="97"/>
      <c r="DXZ17" s="3"/>
      <c r="DYG17" s="97"/>
      <c r="DYH17" s="97"/>
      <c r="DYI17" s="3"/>
      <c r="DYP17" s="97"/>
      <c r="DYQ17" s="97"/>
      <c r="DYR17" s="3"/>
      <c r="DYY17" s="97"/>
      <c r="DYZ17" s="97"/>
      <c r="DZA17" s="3"/>
      <c r="DZH17" s="97"/>
      <c r="DZI17" s="97"/>
      <c r="DZJ17" s="3"/>
      <c r="DZQ17" s="97"/>
      <c r="DZR17" s="97"/>
      <c r="DZS17" s="3"/>
      <c r="DZZ17" s="97"/>
      <c r="EAA17" s="97"/>
      <c r="EAB17" s="3"/>
      <c r="EAI17" s="97"/>
      <c r="EAJ17" s="97"/>
      <c r="EAK17" s="3"/>
      <c r="EAR17" s="97"/>
      <c r="EAS17" s="97"/>
      <c r="EAT17" s="3"/>
      <c r="EBA17" s="97"/>
      <c r="EBB17" s="97"/>
      <c r="EBC17" s="3"/>
      <c r="EBJ17" s="97"/>
      <c r="EBK17" s="97"/>
      <c r="EBL17" s="3"/>
      <c r="EBS17" s="97"/>
      <c r="EBT17" s="97"/>
      <c r="EBU17" s="3"/>
      <c r="ECB17" s="97"/>
      <c r="ECC17" s="97"/>
      <c r="ECD17" s="3"/>
      <c r="ECK17" s="97"/>
      <c r="ECL17" s="97"/>
      <c r="ECM17" s="3"/>
      <c r="ECT17" s="97"/>
      <c r="ECU17" s="97"/>
      <c r="ECV17" s="3"/>
      <c r="EDC17" s="97"/>
      <c r="EDD17" s="97"/>
      <c r="EDE17" s="3"/>
      <c r="EDL17" s="97"/>
      <c r="EDM17" s="97"/>
      <c r="EDN17" s="3"/>
      <c r="EDU17" s="97"/>
      <c r="EDV17" s="97"/>
      <c r="EDW17" s="3"/>
      <c r="EED17" s="97"/>
      <c r="EEE17" s="97"/>
      <c r="EEF17" s="3"/>
      <c r="EEM17" s="97"/>
      <c r="EEN17" s="97"/>
      <c r="EEO17" s="3"/>
      <c r="EEV17" s="97"/>
      <c r="EEW17" s="97"/>
      <c r="EEX17" s="3"/>
      <c r="EFE17" s="97"/>
      <c r="EFF17" s="97"/>
      <c r="EFG17" s="3"/>
      <c r="EFN17" s="97"/>
      <c r="EFO17" s="97"/>
      <c r="EFP17" s="3"/>
      <c r="EFW17" s="97"/>
      <c r="EFX17" s="97"/>
      <c r="EFY17" s="3"/>
      <c r="EGF17" s="97"/>
      <c r="EGG17" s="97"/>
      <c r="EGH17" s="3"/>
      <c r="EGO17" s="97"/>
      <c r="EGP17" s="97"/>
      <c r="EGQ17" s="3"/>
      <c r="EGX17" s="97"/>
      <c r="EGY17" s="97"/>
      <c r="EGZ17" s="3"/>
      <c r="EHG17" s="97"/>
      <c r="EHH17" s="97"/>
      <c r="EHI17" s="3"/>
      <c r="EHP17" s="97"/>
      <c r="EHQ17" s="97"/>
      <c r="EHR17" s="3"/>
      <c r="EHY17" s="97"/>
      <c r="EHZ17" s="97"/>
      <c r="EIA17" s="3"/>
      <c r="EIH17" s="97"/>
      <c r="EII17" s="97"/>
      <c r="EIJ17" s="3"/>
      <c r="EIQ17" s="97"/>
      <c r="EIR17" s="97"/>
      <c r="EIS17" s="3"/>
      <c r="EIZ17" s="97"/>
      <c r="EJA17" s="97"/>
      <c r="EJB17" s="3"/>
      <c r="EJI17" s="97"/>
      <c r="EJJ17" s="97"/>
      <c r="EJK17" s="3"/>
      <c r="EJR17" s="97"/>
      <c r="EJS17" s="97"/>
      <c r="EJT17" s="3"/>
      <c r="EKA17" s="97"/>
      <c r="EKB17" s="97"/>
      <c r="EKC17" s="3"/>
      <c r="EKJ17" s="97"/>
      <c r="EKK17" s="97"/>
      <c r="EKL17" s="3"/>
      <c r="EKS17" s="97"/>
      <c r="EKT17" s="97"/>
      <c r="EKU17" s="3"/>
      <c r="ELB17" s="97"/>
      <c r="ELC17" s="97"/>
      <c r="ELD17" s="3"/>
      <c r="ELK17" s="97"/>
      <c r="ELL17" s="97"/>
      <c r="ELM17" s="3"/>
      <c r="ELT17" s="97"/>
      <c r="ELU17" s="97"/>
      <c r="ELV17" s="3"/>
      <c r="EMC17" s="97"/>
      <c r="EMD17" s="97"/>
      <c r="EME17" s="3"/>
      <c r="EML17" s="97"/>
      <c r="EMM17" s="97"/>
      <c r="EMN17" s="3"/>
      <c r="EMU17" s="97"/>
      <c r="EMV17" s="97"/>
      <c r="EMW17" s="3"/>
      <c r="END17" s="97"/>
      <c r="ENE17" s="97"/>
      <c r="ENF17" s="3"/>
      <c r="ENM17" s="97"/>
      <c r="ENN17" s="97"/>
      <c r="ENO17" s="3"/>
      <c r="ENV17" s="97"/>
      <c r="ENW17" s="97"/>
      <c r="ENX17" s="3"/>
      <c r="EOE17" s="97"/>
      <c r="EOF17" s="97"/>
      <c r="EOG17" s="3"/>
      <c r="EON17" s="97"/>
      <c r="EOO17" s="97"/>
      <c r="EOP17" s="3"/>
      <c r="EOW17" s="97"/>
      <c r="EOX17" s="97"/>
      <c r="EOY17" s="3"/>
      <c r="EPF17" s="97"/>
      <c r="EPG17" s="97"/>
      <c r="EPH17" s="3"/>
      <c r="EPO17" s="97"/>
      <c r="EPP17" s="97"/>
      <c r="EPQ17" s="3"/>
      <c r="EPX17" s="97"/>
      <c r="EPY17" s="97"/>
      <c r="EPZ17" s="3"/>
      <c r="EQG17" s="97"/>
      <c r="EQH17" s="97"/>
      <c r="EQI17" s="3"/>
      <c r="EQP17" s="97"/>
      <c r="EQQ17" s="97"/>
      <c r="EQR17" s="3"/>
      <c r="EQY17" s="97"/>
      <c r="EQZ17" s="97"/>
      <c r="ERA17" s="3"/>
      <c r="ERH17" s="97"/>
      <c r="ERI17" s="97"/>
      <c r="ERJ17" s="3"/>
      <c r="ERQ17" s="97"/>
      <c r="ERR17" s="97"/>
      <c r="ERS17" s="3"/>
      <c r="ERZ17" s="97"/>
      <c r="ESA17" s="97"/>
      <c r="ESB17" s="3"/>
      <c r="ESI17" s="97"/>
      <c r="ESJ17" s="97"/>
      <c r="ESK17" s="3"/>
      <c r="ESR17" s="97"/>
      <c r="ESS17" s="97"/>
      <c r="EST17" s="3"/>
      <c r="ETA17" s="97"/>
      <c r="ETB17" s="97"/>
      <c r="ETC17" s="3"/>
      <c r="ETJ17" s="97"/>
      <c r="ETK17" s="97"/>
      <c r="ETL17" s="3"/>
      <c r="ETS17" s="97"/>
      <c r="ETT17" s="97"/>
      <c r="ETU17" s="3"/>
      <c r="EUB17" s="97"/>
      <c r="EUC17" s="97"/>
      <c r="EUD17" s="3"/>
      <c r="EUK17" s="97"/>
      <c r="EUL17" s="97"/>
      <c r="EUM17" s="3"/>
      <c r="EUT17" s="97"/>
      <c r="EUU17" s="97"/>
      <c r="EUV17" s="3"/>
      <c r="EVC17" s="97"/>
      <c r="EVD17" s="97"/>
      <c r="EVE17" s="3"/>
      <c r="EVL17" s="97"/>
      <c r="EVM17" s="97"/>
      <c r="EVN17" s="3"/>
      <c r="EVU17" s="97"/>
      <c r="EVV17" s="97"/>
      <c r="EVW17" s="3"/>
      <c r="EWD17" s="97"/>
      <c r="EWE17" s="97"/>
      <c r="EWF17" s="3"/>
      <c r="EWM17" s="97"/>
      <c r="EWN17" s="97"/>
      <c r="EWO17" s="3"/>
      <c r="EWV17" s="97"/>
      <c r="EWW17" s="97"/>
      <c r="EWX17" s="3"/>
      <c r="EXE17" s="97"/>
      <c r="EXF17" s="97"/>
      <c r="EXG17" s="3"/>
      <c r="EXN17" s="97"/>
      <c r="EXO17" s="97"/>
      <c r="EXP17" s="3"/>
      <c r="EXW17" s="97"/>
      <c r="EXX17" s="97"/>
      <c r="EXY17" s="3"/>
      <c r="EYF17" s="97"/>
      <c r="EYG17" s="97"/>
      <c r="EYH17" s="3"/>
      <c r="EYO17" s="97"/>
      <c r="EYP17" s="97"/>
      <c r="EYQ17" s="3"/>
      <c r="EYX17" s="97"/>
      <c r="EYY17" s="97"/>
      <c r="EYZ17" s="3"/>
      <c r="EZG17" s="97"/>
      <c r="EZH17" s="97"/>
      <c r="EZI17" s="3"/>
      <c r="EZP17" s="97"/>
      <c r="EZQ17" s="97"/>
      <c r="EZR17" s="3"/>
      <c r="EZY17" s="97"/>
      <c r="EZZ17" s="97"/>
      <c r="FAA17" s="3"/>
      <c r="FAH17" s="97"/>
      <c r="FAI17" s="97"/>
      <c r="FAJ17" s="3"/>
      <c r="FAQ17" s="97"/>
      <c r="FAR17" s="97"/>
      <c r="FAS17" s="3"/>
      <c r="FAZ17" s="97"/>
      <c r="FBA17" s="97"/>
      <c r="FBB17" s="3"/>
      <c r="FBI17" s="97"/>
      <c r="FBJ17" s="97"/>
      <c r="FBK17" s="3"/>
      <c r="FBR17" s="97"/>
      <c r="FBS17" s="97"/>
      <c r="FBT17" s="3"/>
      <c r="FCA17" s="97"/>
      <c r="FCB17" s="97"/>
      <c r="FCC17" s="3"/>
      <c r="FCJ17" s="97"/>
      <c r="FCK17" s="97"/>
      <c r="FCL17" s="3"/>
      <c r="FCS17" s="97"/>
      <c r="FCT17" s="97"/>
      <c r="FCU17" s="3"/>
      <c r="FDB17" s="97"/>
      <c r="FDC17" s="97"/>
      <c r="FDD17" s="3"/>
      <c r="FDK17" s="97"/>
      <c r="FDL17" s="97"/>
      <c r="FDM17" s="3"/>
      <c r="FDT17" s="97"/>
      <c r="FDU17" s="97"/>
      <c r="FDV17" s="3"/>
      <c r="FEC17" s="97"/>
      <c r="FED17" s="97"/>
      <c r="FEE17" s="3"/>
      <c r="FEL17" s="97"/>
      <c r="FEM17" s="97"/>
      <c r="FEN17" s="3"/>
      <c r="FEU17" s="97"/>
      <c r="FEV17" s="97"/>
      <c r="FEW17" s="3"/>
      <c r="FFD17" s="97"/>
      <c r="FFE17" s="97"/>
      <c r="FFF17" s="3"/>
      <c r="FFM17" s="97"/>
      <c r="FFN17" s="97"/>
      <c r="FFO17" s="3"/>
      <c r="FFV17" s="97"/>
      <c r="FFW17" s="97"/>
      <c r="FFX17" s="3"/>
      <c r="FGE17" s="97"/>
      <c r="FGF17" s="97"/>
      <c r="FGG17" s="3"/>
      <c r="FGN17" s="97"/>
      <c r="FGO17" s="97"/>
      <c r="FGP17" s="3"/>
      <c r="FGW17" s="97"/>
      <c r="FGX17" s="97"/>
      <c r="FGY17" s="3"/>
      <c r="FHF17" s="97"/>
      <c r="FHG17" s="97"/>
      <c r="FHH17" s="3"/>
      <c r="FHO17" s="97"/>
      <c r="FHP17" s="97"/>
      <c r="FHQ17" s="3"/>
      <c r="FHX17" s="97"/>
      <c r="FHY17" s="97"/>
      <c r="FHZ17" s="3"/>
      <c r="FIG17" s="97"/>
      <c r="FIH17" s="97"/>
      <c r="FII17" s="3"/>
      <c r="FIP17" s="97"/>
      <c r="FIQ17" s="97"/>
      <c r="FIR17" s="3"/>
      <c r="FIY17" s="97"/>
      <c r="FIZ17" s="97"/>
      <c r="FJA17" s="3"/>
      <c r="FJH17" s="97"/>
      <c r="FJI17" s="97"/>
      <c r="FJJ17" s="3"/>
      <c r="FJQ17" s="97"/>
      <c r="FJR17" s="97"/>
      <c r="FJS17" s="3"/>
      <c r="FJZ17" s="97"/>
      <c r="FKA17" s="97"/>
      <c r="FKB17" s="3"/>
      <c r="FKI17" s="97"/>
      <c r="FKJ17" s="97"/>
      <c r="FKK17" s="3"/>
      <c r="FKR17" s="97"/>
      <c r="FKS17" s="97"/>
      <c r="FKT17" s="3"/>
      <c r="FLA17" s="97"/>
      <c r="FLB17" s="97"/>
      <c r="FLC17" s="3"/>
      <c r="FLJ17" s="97"/>
      <c r="FLK17" s="97"/>
      <c r="FLL17" s="3"/>
      <c r="FLS17" s="97"/>
      <c r="FLT17" s="97"/>
      <c r="FLU17" s="3"/>
      <c r="FMB17" s="97"/>
      <c r="FMC17" s="97"/>
      <c r="FMD17" s="3"/>
      <c r="FMK17" s="97"/>
      <c r="FML17" s="97"/>
      <c r="FMM17" s="3"/>
      <c r="FMT17" s="97"/>
      <c r="FMU17" s="97"/>
      <c r="FMV17" s="3"/>
      <c r="FNC17" s="97"/>
      <c r="FND17" s="97"/>
      <c r="FNE17" s="3"/>
      <c r="FNL17" s="97"/>
      <c r="FNM17" s="97"/>
      <c r="FNN17" s="3"/>
      <c r="FNU17" s="97"/>
      <c r="FNV17" s="97"/>
      <c r="FNW17" s="3"/>
      <c r="FOD17" s="97"/>
      <c r="FOE17" s="97"/>
      <c r="FOF17" s="3"/>
      <c r="FOM17" s="97"/>
      <c r="FON17" s="97"/>
      <c r="FOO17" s="3"/>
      <c r="FOV17" s="97"/>
      <c r="FOW17" s="97"/>
      <c r="FOX17" s="3"/>
      <c r="FPE17" s="97"/>
      <c r="FPF17" s="97"/>
      <c r="FPG17" s="3"/>
      <c r="FPN17" s="97"/>
      <c r="FPO17" s="97"/>
      <c r="FPP17" s="3"/>
      <c r="FPW17" s="97"/>
      <c r="FPX17" s="97"/>
      <c r="FPY17" s="3"/>
      <c r="FQF17" s="97"/>
      <c r="FQG17" s="97"/>
      <c r="FQH17" s="3"/>
      <c r="FQO17" s="97"/>
      <c r="FQP17" s="97"/>
      <c r="FQQ17" s="3"/>
      <c r="FQX17" s="97"/>
      <c r="FQY17" s="97"/>
      <c r="FQZ17" s="3"/>
      <c r="FRG17" s="97"/>
      <c r="FRH17" s="97"/>
      <c r="FRI17" s="3"/>
      <c r="FRP17" s="97"/>
      <c r="FRQ17" s="97"/>
      <c r="FRR17" s="3"/>
      <c r="FRY17" s="97"/>
      <c r="FRZ17" s="97"/>
      <c r="FSA17" s="3"/>
      <c r="FSH17" s="97"/>
      <c r="FSI17" s="97"/>
      <c r="FSJ17" s="3"/>
      <c r="FSQ17" s="97"/>
      <c r="FSR17" s="97"/>
      <c r="FSS17" s="3"/>
      <c r="FSZ17" s="97"/>
      <c r="FTA17" s="97"/>
      <c r="FTB17" s="3"/>
      <c r="FTI17" s="97"/>
      <c r="FTJ17" s="97"/>
      <c r="FTK17" s="3"/>
      <c r="FTR17" s="97"/>
      <c r="FTS17" s="97"/>
      <c r="FTT17" s="3"/>
      <c r="FUA17" s="97"/>
      <c r="FUB17" s="97"/>
      <c r="FUC17" s="3"/>
      <c r="FUJ17" s="97"/>
      <c r="FUK17" s="97"/>
      <c r="FUL17" s="3"/>
      <c r="FUS17" s="97"/>
      <c r="FUT17" s="97"/>
      <c r="FUU17" s="3"/>
      <c r="FVB17" s="97"/>
      <c r="FVC17" s="97"/>
      <c r="FVD17" s="3"/>
      <c r="FVK17" s="97"/>
      <c r="FVL17" s="97"/>
      <c r="FVM17" s="3"/>
      <c r="FVT17" s="97"/>
      <c r="FVU17" s="97"/>
      <c r="FVV17" s="3"/>
      <c r="FWC17" s="97"/>
      <c r="FWD17" s="97"/>
      <c r="FWE17" s="3"/>
      <c r="FWL17" s="97"/>
      <c r="FWM17" s="97"/>
      <c r="FWN17" s="3"/>
      <c r="FWU17" s="97"/>
      <c r="FWV17" s="97"/>
      <c r="FWW17" s="3"/>
      <c r="FXD17" s="97"/>
      <c r="FXE17" s="97"/>
      <c r="FXF17" s="3"/>
      <c r="FXM17" s="97"/>
      <c r="FXN17" s="97"/>
      <c r="FXO17" s="3"/>
      <c r="FXV17" s="97"/>
      <c r="FXW17" s="97"/>
      <c r="FXX17" s="3"/>
      <c r="FYE17" s="97"/>
      <c r="FYF17" s="97"/>
      <c r="FYG17" s="3"/>
      <c r="FYN17" s="97"/>
      <c r="FYO17" s="97"/>
      <c r="FYP17" s="3"/>
      <c r="FYW17" s="97"/>
      <c r="FYX17" s="97"/>
      <c r="FYY17" s="3"/>
      <c r="FZF17" s="97"/>
      <c r="FZG17" s="97"/>
      <c r="FZH17" s="3"/>
      <c r="FZO17" s="97"/>
      <c r="FZP17" s="97"/>
      <c r="FZQ17" s="3"/>
      <c r="FZX17" s="97"/>
      <c r="FZY17" s="97"/>
      <c r="FZZ17" s="3"/>
      <c r="GAG17" s="97"/>
      <c r="GAH17" s="97"/>
      <c r="GAI17" s="3"/>
      <c r="GAP17" s="97"/>
      <c r="GAQ17" s="97"/>
      <c r="GAR17" s="3"/>
      <c r="GAY17" s="97"/>
      <c r="GAZ17" s="97"/>
      <c r="GBA17" s="3"/>
      <c r="GBH17" s="97"/>
      <c r="GBI17" s="97"/>
      <c r="GBJ17" s="3"/>
      <c r="GBQ17" s="97"/>
      <c r="GBR17" s="97"/>
      <c r="GBS17" s="3"/>
      <c r="GBZ17" s="97"/>
      <c r="GCA17" s="97"/>
      <c r="GCB17" s="3"/>
      <c r="GCI17" s="97"/>
      <c r="GCJ17" s="97"/>
      <c r="GCK17" s="3"/>
      <c r="GCR17" s="97"/>
      <c r="GCS17" s="97"/>
      <c r="GCT17" s="3"/>
      <c r="GDA17" s="97"/>
      <c r="GDB17" s="97"/>
      <c r="GDC17" s="3"/>
      <c r="GDJ17" s="97"/>
      <c r="GDK17" s="97"/>
      <c r="GDL17" s="3"/>
      <c r="GDS17" s="97"/>
      <c r="GDT17" s="97"/>
      <c r="GDU17" s="3"/>
      <c r="GEB17" s="97"/>
      <c r="GEC17" s="97"/>
      <c r="GED17" s="3"/>
      <c r="GEK17" s="97"/>
      <c r="GEL17" s="97"/>
      <c r="GEM17" s="3"/>
      <c r="GET17" s="97"/>
      <c r="GEU17" s="97"/>
      <c r="GEV17" s="3"/>
      <c r="GFC17" s="97"/>
      <c r="GFD17" s="97"/>
      <c r="GFE17" s="3"/>
      <c r="GFL17" s="97"/>
      <c r="GFM17" s="97"/>
      <c r="GFN17" s="3"/>
      <c r="GFU17" s="97"/>
      <c r="GFV17" s="97"/>
      <c r="GFW17" s="3"/>
      <c r="GGD17" s="97"/>
      <c r="GGE17" s="97"/>
      <c r="GGF17" s="3"/>
      <c r="GGM17" s="97"/>
      <c r="GGN17" s="97"/>
      <c r="GGO17" s="3"/>
      <c r="GGV17" s="97"/>
      <c r="GGW17" s="97"/>
      <c r="GGX17" s="3"/>
      <c r="GHE17" s="97"/>
      <c r="GHF17" s="97"/>
      <c r="GHG17" s="3"/>
      <c r="GHN17" s="97"/>
      <c r="GHO17" s="97"/>
      <c r="GHP17" s="3"/>
      <c r="GHW17" s="97"/>
      <c r="GHX17" s="97"/>
      <c r="GHY17" s="3"/>
      <c r="GIF17" s="97"/>
      <c r="GIG17" s="97"/>
      <c r="GIH17" s="3"/>
      <c r="GIO17" s="97"/>
      <c r="GIP17" s="97"/>
      <c r="GIQ17" s="3"/>
      <c r="GIX17" s="97"/>
      <c r="GIY17" s="97"/>
      <c r="GIZ17" s="3"/>
      <c r="GJG17" s="97"/>
      <c r="GJH17" s="97"/>
      <c r="GJI17" s="3"/>
      <c r="GJP17" s="97"/>
      <c r="GJQ17" s="97"/>
      <c r="GJR17" s="3"/>
      <c r="GJY17" s="97"/>
      <c r="GJZ17" s="97"/>
      <c r="GKA17" s="3"/>
      <c r="GKH17" s="97"/>
      <c r="GKI17" s="97"/>
      <c r="GKJ17" s="3"/>
      <c r="GKQ17" s="97"/>
      <c r="GKR17" s="97"/>
      <c r="GKS17" s="3"/>
      <c r="GKZ17" s="97"/>
      <c r="GLA17" s="97"/>
      <c r="GLB17" s="3"/>
      <c r="GLI17" s="97"/>
      <c r="GLJ17" s="97"/>
      <c r="GLK17" s="3"/>
      <c r="GLR17" s="97"/>
      <c r="GLS17" s="97"/>
      <c r="GLT17" s="3"/>
      <c r="GMA17" s="97"/>
      <c r="GMB17" s="97"/>
      <c r="GMC17" s="3"/>
      <c r="GMJ17" s="97"/>
      <c r="GMK17" s="97"/>
      <c r="GML17" s="3"/>
      <c r="GMS17" s="97"/>
      <c r="GMT17" s="97"/>
      <c r="GMU17" s="3"/>
      <c r="GNB17" s="97"/>
      <c r="GNC17" s="97"/>
      <c r="GND17" s="3"/>
      <c r="GNK17" s="97"/>
      <c r="GNL17" s="97"/>
      <c r="GNM17" s="3"/>
      <c r="GNT17" s="97"/>
      <c r="GNU17" s="97"/>
      <c r="GNV17" s="3"/>
      <c r="GOC17" s="97"/>
      <c r="GOD17" s="97"/>
      <c r="GOE17" s="3"/>
      <c r="GOL17" s="97"/>
      <c r="GOM17" s="97"/>
      <c r="GON17" s="3"/>
      <c r="GOU17" s="97"/>
      <c r="GOV17" s="97"/>
      <c r="GOW17" s="3"/>
      <c r="GPD17" s="97"/>
      <c r="GPE17" s="97"/>
      <c r="GPF17" s="3"/>
      <c r="GPM17" s="97"/>
      <c r="GPN17" s="97"/>
      <c r="GPO17" s="3"/>
      <c r="GPV17" s="97"/>
      <c r="GPW17" s="97"/>
      <c r="GPX17" s="3"/>
      <c r="GQE17" s="97"/>
      <c r="GQF17" s="97"/>
      <c r="GQG17" s="3"/>
      <c r="GQN17" s="97"/>
      <c r="GQO17" s="97"/>
      <c r="GQP17" s="3"/>
      <c r="GQW17" s="97"/>
      <c r="GQX17" s="97"/>
      <c r="GQY17" s="3"/>
      <c r="GRF17" s="97"/>
      <c r="GRG17" s="97"/>
      <c r="GRH17" s="3"/>
      <c r="GRO17" s="97"/>
      <c r="GRP17" s="97"/>
      <c r="GRQ17" s="3"/>
      <c r="GRX17" s="97"/>
      <c r="GRY17" s="97"/>
      <c r="GRZ17" s="3"/>
      <c r="GSG17" s="97"/>
      <c r="GSH17" s="97"/>
      <c r="GSI17" s="3"/>
      <c r="GSP17" s="97"/>
      <c r="GSQ17" s="97"/>
      <c r="GSR17" s="3"/>
      <c r="GSY17" s="97"/>
      <c r="GSZ17" s="97"/>
      <c r="GTA17" s="3"/>
      <c r="GTH17" s="97"/>
      <c r="GTI17" s="97"/>
      <c r="GTJ17" s="3"/>
      <c r="GTQ17" s="97"/>
      <c r="GTR17" s="97"/>
      <c r="GTS17" s="3"/>
      <c r="GTZ17" s="97"/>
      <c r="GUA17" s="97"/>
      <c r="GUB17" s="3"/>
      <c r="GUI17" s="97"/>
      <c r="GUJ17" s="97"/>
      <c r="GUK17" s="3"/>
      <c r="GUR17" s="97"/>
      <c r="GUS17" s="97"/>
      <c r="GUT17" s="3"/>
      <c r="GVA17" s="97"/>
      <c r="GVB17" s="97"/>
      <c r="GVC17" s="3"/>
      <c r="GVJ17" s="97"/>
      <c r="GVK17" s="97"/>
      <c r="GVL17" s="3"/>
      <c r="GVS17" s="97"/>
      <c r="GVT17" s="97"/>
      <c r="GVU17" s="3"/>
      <c r="GWB17" s="97"/>
      <c r="GWC17" s="97"/>
      <c r="GWD17" s="3"/>
      <c r="GWK17" s="97"/>
      <c r="GWL17" s="97"/>
      <c r="GWM17" s="3"/>
      <c r="GWT17" s="97"/>
      <c r="GWU17" s="97"/>
      <c r="GWV17" s="3"/>
      <c r="GXC17" s="97"/>
      <c r="GXD17" s="97"/>
      <c r="GXE17" s="3"/>
      <c r="GXL17" s="97"/>
      <c r="GXM17" s="97"/>
      <c r="GXN17" s="3"/>
      <c r="GXU17" s="97"/>
      <c r="GXV17" s="97"/>
      <c r="GXW17" s="3"/>
      <c r="GYD17" s="97"/>
      <c r="GYE17" s="97"/>
      <c r="GYF17" s="3"/>
      <c r="GYM17" s="97"/>
      <c r="GYN17" s="97"/>
      <c r="GYO17" s="3"/>
      <c r="GYV17" s="97"/>
      <c r="GYW17" s="97"/>
      <c r="GYX17" s="3"/>
      <c r="GZE17" s="97"/>
      <c r="GZF17" s="97"/>
      <c r="GZG17" s="3"/>
      <c r="GZN17" s="97"/>
      <c r="GZO17" s="97"/>
      <c r="GZP17" s="3"/>
      <c r="GZW17" s="97"/>
      <c r="GZX17" s="97"/>
      <c r="GZY17" s="3"/>
      <c r="HAF17" s="97"/>
      <c r="HAG17" s="97"/>
      <c r="HAH17" s="3"/>
      <c r="HAO17" s="97"/>
      <c r="HAP17" s="97"/>
      <c r="HAQ17" s="3"/>
      <c r="HAX17" s="97"/>
      <c r="HAY17" s="97"/>
      <c r="HAZ17" s="3"/>
      <c r="HBG17" s="97"/>
      <c r="HBH17" s="97"/>
      <c r="HBI17" s="3"/>
      <c r="HBP17" s="97"/>
      <c r="HBQ17" s="97"/>
      <c r="HBR17" s="3"/>
      <c r="HBY17" s="97"/>
      <c r="HBZ17" s="97"/>
      <c r="HCA17" s="3"/>
      <c r="HCH17" s="97"/>
      <c r="HCI17" s="97"/>
      <c r="HCJ17" s="3"/>
      <c r="HCQ17" s="97"/>
      <c r="HCR17" s="97"/>
      <c r="HCS17" s="3"/>
      <c r="HCZ17" s="97"/>
      <c r="HDA17" s="97"/>
      <c r="HDB17" s="3"/>
      <c r="HDI17" s="97"/>
      <c r="HDJ17" s="97"/>
      <c r="HDK17" s="3"/>
      <c r="HDR17" s="97"/>
      <c r="HDS17" s="97"/>
      <c r="HDT17" s="3"/>
      <c r="HEA17" s="97"/>
      <c r="HEB17" s="97"/>
      <c r="HEC17" s="3"/>
      <c r="HEJ17" s="97"/>
      <c r="HEK17" s="97"/>
      <c r="HEL17" s="3"/>
      <c r="HES17" s="97"/>
      <c r="HET17" s="97"/>
      <c r="HEU17" s="3"/>
      <c r="HFB17" s="97"/>
      <c r="HFC17" s="97"/>
      <c r="HFD17" s="3"/>
      <c r="HFK17" s="97"/>
      <c r="HFL17" s="97"/>
      <c r="HFM17" s="3"/>
      <c r="HFT17" s="97"/>
      <c r="HFU17" s="97"/>
      <c r="HFV17" s="3"/>
      <c r="HGC17" s="97"/>
      <c r="HGD17" s="97"/>
      <c r="HGE17" s="3"/>
      <c r="HGL17" s="97"/>
      <c r="HGM17" s="97"/>
      <c r="HGN17" s="3"/>
      <c r="HGU17" s="97"/>
      <c r="HGV17" s="97"/>
      <c r="HGW17" s="3"/>
      <c r="HHD17" s="97"/>
      <c r="HHE17" s="97"/>
      <c r="HHF17" s="3"/>
      <c r="HHM17" s="97"/>
      <c r="HHN17" s="97"/>
      <c r="HHO17" s="3"/>
      <c r="HHV17" s="97"/>
      <c r="HHW17" s="97"/>
      <c r="HHX17" s="3"/>
      <c r="HIE17" s="97"/>
      <c r="HIF17" s="97"/>
      <c r="HIG17" s="3"/>
      <c r="HIN17" s="97"/>
      <c r="HIO17" s="97"/>
      <c r="HIP17" s="3"/>
      <c r="HIW17" s="97"/>
      <c r="HIX17" s="97"/>
      <c r="HIY17" s="3"/>
      <c r="HJF17" s="97"/>
      <c r="HJG17" s="97"/>
      <c r="HJH17" s="3"/>
      <c r="HJO17" s="97"/>
      <c r="HJP17" s="97"/>
      <c r="HJQ17" s="3"/>
      <c r="HJX17" s="97"/>
      <c r="HJY17" s="97"/>
      <c r="HJZ17" s="3"/>
      <c r="HKG17" s="97"/>
      <c r="HKH17" s="97"/>
      <c r="HKI17" s="3"/>
      <c r="HKP17" s="97"/>
      <c r="HKQ17" s="97"/>
      <c r="HKR17" s="3"/>
      <c r="HKY17" s="97"/>
      <c r="HKZ17" s="97"/>
      <c r="HLA17" s="3"/>
      <c r="HLH17" s="97"/>
      <c r="HLI17" s="97"/>
      <c r="HLJ17" s="3"/>
      <c r="HLQ17" s="97"/>
      <c r="HLR17" s="97"/>
      <c r="HLS17" s="3"/>
      <c r="HLZ17" s="97"/>
      <c r="HMA17" s="97"/>
      <c r="HMB17" s="3"/>
      <c r="HMI17" s="97"/>
      <c r="HMJ17" s="97"/>
      <c r="HMK17" s="3"/>
      <c r="HMR17" s="97"/>
      <c r="HMS17" s="97"/>
      <c r="HMT17" s="3"/>
      <c r="HNA17" s="97"/>
      <c r="HNB17" s="97"/>
      <c r="HNC17" s="3"/>
      <c r="HNJ17" s="97"/>
      <c r="HNK17" s="97"/>
      <c r="HNL17" s="3"/>
      <c r="HNS17" s="97"/>
      <c r="HNT17" s="97"/>
      <c r="HNU17" s="3"/>
      <c r="HOB17" s="97"/>
      <c r="HOC17" s="97"/>
      <c r="HOD17" s="3"/>
      <c r="HOK17" s="97"/>
      <c r="HOL17" s="97"/>
      <c r="HOM17" s="3"/>
      <c r="HOT17" s="97"/>
      <c r="HOU17" s="97"/>
      <c r="HOV17" s="3"/>
      <c r="HPC17" s="97"/>
      <c r="HPD17" s="97"/>
      <c r="HPE17" s="3"/>
      <c r="HPL17" s="97"/>
      <c r="HPM17" s="97"/>
      <c r="HPN17" s="3"/>
      <c r="HPU17" s="97"/>
      <c r="HPV17" s="97"/>
      <c r="HPW17" s="3"/>
      <c r="HQD17" s="97"/>
      <c r="HQE17" s="97"/>
      <c r="HQF17" s="3"/>
      <c r="HQM17" s="97"/>
      <c r="HQN17" s="97"/>
      <c r="HQO17" s="3"/>
      <c r="HQV17" s="97"/>
      <c r="HQW17" s="97"/>
      <c r="HQX17" s="3"/>
      <c r="HRE17" s="97"/>
      <c r="HRF17" s="97"/>
      <c r="HRG17" s="3"/>
      <c r="HRN17" s="97"/>
      <c r="HRO17" s="97"/>
      <c r="HRP17" s="3"/>
      <c r="HRW17" s="97"/>
      <c r="HRX17" s="97"/>
      <c r="HRY17" s="3"/>
      <c r="HSF17" s="97"/>
      <c r="HSG17" s="97"/>
      <c r="HSH17" s="3"/>
      <c r="HSO17" s="97"/>
      <c r="HSP17" s="97"/>
      <c r="HSQ17" s="3"/>
      <c r="HSX17" s="97"/>
      <c r="HSY17" s="97"/>
      <c r="HSZ17" s="3"/>
      <c r="HTG17" s="97"/>
      <c r="HTH17" s="97"/>
      <c r="HTI17" s="3"/>
      <c r="HTP17" s="97"/>
      <c r="HTQ17" s="97"/>
      <c r="HTR17" s="3"/>
      <c r="HTY17" s="97"/>
      <c r="HTZ17" s="97"/>
      <c r="HUA17" s="3"/>
      <c r="HUH17" s="97"/>
      <c r="HUI17" s="97"/>
      <c r="HUJ17" s="3"/>
      <c r="HUQ17" s="97"/>
      <c r="HUR17" s="97"/>
      <c r="HUS17" s="3"/>
      <c r="HUZ17" s="97"/>
      <c r="HVA17" s="97"/>
      <c r="HVB17" s="3"/>
      <c r="HVI17" s="97"/>
      <c r="HVJ17" s="97"/>
      <c r="HVK17" s="3"/>
      <c r="HVR17" s="97"/>
      <c r="HVS17" s="97"/>
      <c r="HVT17" s="3"/>
      <c r="HWA17" s="97"/>
      <c r="HWB17" s="97"/>
      <c r="HWC17" s="3"/>
      <c r="HWJ17" s="97"/>
      <c r="HWK17" s="97"/>
      <c r="HWL17" s="3"/>
      <c r="HWS17" s="97"/>
      <c r="HWT17" s="97"/>
      <c r="HWU17" s="3"/>
      <c r="HXB17" s="97"/>
      <c r="HXC17" s="97"/>
      <c r="HXD17" s="3"/>
      <c r="HXK17" s="97"/>
      <c r="HXL17" s="97"/>
      <c r="HXM17" s="3"/>
      <c r="HXT17" s="97"/>
      <c r="HXU17" s="97"/>
      <c r="HXV17" s="3"/>
      <c r="HYC17" s="97"/>
      <c r="HYD17" s="97"/>
      <c r="HYE17" s="3"/>
      <c r="HYL17" s="97"/>
      <c r="HYM17" s="97"/>
      <c r="HYN17" s="3"/>
      <c r="HYU17" s="97"/>
      <c r="HYV17" s="97"/>
      <c r="HYW17" s="3"/>
      <c r="HZD17" s="97"/>
      <c r="HZE17" s="97"/>
      <c r="HZF17" s="3"/>
      <c r="HZM17" s="97"/>
      <c r="HZN17" s="97"/>
      <c r="HZO17" s="3"/>
      <c r="HZV17" s="97"/>
      <c r="HZW17" s="97"/>
      <c r="HZX17" s="3"/>
      <c r="IAE17" s="97"/>
      <c r="IAF17" s="97"/>
      <c r="IAG17" s="3"/>
      <c r="IAN17" s="97"/>
      <c r="IAO17" s="97"/>
      <c r="IAP17" s="3"/>
      <c r="IAW17" s="97"/>
      <c r="IAX17" s="97"/>
      <c r="IAY17" s="3"/>
      <c r="IBF17" s="97"/>
      <c r="IBG17" s="97"/>
      <c r="IBH17" s="3"/>
      <c r="IBO17" s="97"/>
      <c r="IBP17" s="97"/>
      <c r="IBQ17" s="3"/>
      <c r="IBX17" s="97"/>
      <c r="IBY17" s="97"/>
      <c r="IBZ17" s="3"/>
      <c r="ICG17" s="97"/>
      <c r="ICH17" s="97"/>
      <c r="ICI17" s="3"/>
      <c r="ICP17" s="97"/>
      <c r="ICQ17" s="97"/>
      <c r="ICR17" s="3"/>
      <c r="ICY17" s="97"/>
      <c r="ICZ17" s="97"/>
      <c r="IDA17" s="3"/>
      <c r="IDH17" s="97"/>
      <c r="IDI17" s="97"/>
      <c r="IDJ17" s="3"/>
      <c r="IDQ17" s="97"/>
      <c r="IDR17" s="97"/>
      <c r="IDS17" s="3"/>
      <c r="IDZ17" s="97"/>
      <c r="IEA17" s="97"/>
      <c r="IEB17" s="3"/>
      <c r="IEI17" s="97"/>
      <c r="IEJ17" s="97"/>
      <c r="IEK17" s="3"/>
      <c r="IER17" s="97"/>
      <c r="IES17" s="97"/>
      <c r="IET17" s="3"/>
      <c r="IFA17" s="97"/>
      <c r="IFB17" s="97"/>
      <c r="IFC17" s="3"/>
      <c r="IFJ17" s="97"/>
      <c r="IFK17" s="97"/>
      <c r="IFL17" s="3"/>
      <c r="IFS17" s="97"/>
      <c r="IFT17" s="97"/>
      <c r="IFU17" s="3"/>
      <c r="IGB17" s="97"/>
      <c r="IGC17" s="97"/>
      <c r="IGD17" s="3"/>
      <c r="IGK17" s="97"/>
      <c r="IGL17" s="97"/>
      <c r="IGM17" s="3"/>
      <c r="IGT17" s="97"/>
      <c r="IGU17" s="97"/>
      <c r="IGV17" s="3"/>
      <c r="IHC17" s="97"/>
      <c r="IHD17" s="97"/>
      <c r="IHE17" s="3"/>
      <c r="IHL17" s="97"/>
      <c r="IHM17" s="97"/>
      <c r="IHN17" s="3"/>
      <c r="IHU17" s="97"/>
      <c r="IHV17" s="97"/>
      <c r="IHW17" s="3"/>
      <c r="IID17" s="97"/>
      <c r="IIE17" s="97"/>
      <c r="IIF17" s="3"/>
      <c r="IIM17" s="97"/>
      <c r="IIN17" s="97"/>
      <c r="IIO17" s="3"/>
      <c r="IIV17" s="97"/>
      <c r="IIW17" s="97"/>
      <c r="IIX17" s="3"/>
      <c r="IJE17" s="97"/>
      <c r="IJF17" s="97"/>
      <c r="IJG17" s="3"/>
      <c r="IJN17" s="97"/>
      <c r="IJO17" s="97"/>
      <c r="IJP17" s="3"/>
      <c r="IJW17" s="97"/>
      <c r="IJX17" s="97"/>
      <c r="IJY17" s="3"/>
      <c r="IKF17" s="97"/>
      <c r="IKG17" s="97"/>
      <c r="IKH17" s="3"/>
      <c r="IKO17" s="97"/>
      <c r="IKP17" s="97"/>
      <c r="IKQ17" s="3"/>
      <c r="IKX17" s="97"/>
      <c r="IKY17" s="97"/>
      <c r="IKZ17" s="3"/>
      <c r="ILG17" s="97"/>
      <c r="ILH17" s="97"/>
      <c r="ILI17" s="3"/>
      <c r="ILP17" s="97"/>
      <c r="ILQ17" s="97"/>
      <c r="ILR17" s="3"/>
      <c r="ILY17" s="97"/>
      <c r="ILZ17" s="97"/>
      <c r="IMA17" s="3"/>
      <c r="IMH17" s="97"/>
      <c r="IMI17" s="97"/>
      <c r="IMJ17" s="3"/>
      <c r="IMQ17" s="97"/>
      <c r="IMR17" s="97"/>
      <c r="IMS17" s="3"/>
      <c r="IMZ17" s="97"/>
      <c r="INA17" s="97"/>
      <c r="INB17" s="3"/>
      <c r="INI17" s="97"/>
      <c r="INJ17" s="97"/>
      <c r="INK17" s="3"/>
      <c r="INR17" s="97"/>
      <c r="INS17" s="97"/>
      <c r="INT17" s="3"/>
      <c r="IOA17" s="97"/>
      <c r="IOB17" s="97"/>
      <c r="IOC17" s="3"/>
      <c r="IOJ17" s="97"/>
      <c r="IOK17" s="97"/>
      <c r="IOL17" s="3"/>
      <c r="IOS17" s="97"/>
      <c r="IOT17" s="97"/>
      <c r="IOU17" s="3"/>
      <c r="IPB17" s="97"/>
      <c r="IPC17" s="97"/>
      <c r="IPD17" s="3"/>
      <c r="IPK17" s="97"/>
      <c r="IPL17" s="97"/>
      <c r="IPM17" s="3"/>
      <c r="IPT17" s="97"/>
      <c r="IPU17" s="97"/>
      <c r="IPV17" s="3"/>
      <c r="IQC17" s="97"/>
      <c r="IQD17" s="97"/>
      <c r="IQE17" s="3"/>
      <c r="IQL17" s="97"/>
      <c r="IQM17" s="97"/>
      <c r="IQN17" s="3"/>
      <c r="IQU17" s="97"/>
      <c r="IQV17" s="97"/>
      <c r="IQW17" s="3"/>
      <c r="IRD17" s="97"/>
      <c r="IRE17" s="97"/>
      <c r="IRF17" s="3"/>
      <c r="IRM17" s="97"/>
      <c r="IRN17" s="97"/>
      <c r="IRO17" s="3"/>
      <c r="IRV17" s="97"/>
      <c r="IRW17" s="97"/>
      <c r="IRX17" s="3"/>
      <c r="ISE17" s="97"/>
      <c r="ISF17" s="97"/>
      <c r="ISG17" s="3"/>
      <c r="ISN17" s="97"/>
      <c r="ISO17" s="97"/>
      <c r="ISP17" s="3"/>
      <c r="ISW17" s="97"/>
      <c r="ISX17" s="97"/>
      <c r="ISY17" s="3"/>
      <c r="ITF17" s="97"/>
      <c r="ITG17" s="97"/>
      <c r="ITH17" s="3"/>
      <c r="ITO17" s="97"/>
      <c r="ITP17" s="97"/>
      <c r="ITQ17" s="3"/>
      <c r="ITX17" s="97"/>
      <c r="ITY17" s="97"/>
      <c r="ITZ17" s="3"/>
      <c r="IUG17" s="97"/>
      <c r="IUH17" s="97"/>
      <c r="IUI17" s="3"/>
      <c r="IUP17" s="97"/>
      <c r="IUQ17" s="97"/>
      <c r="IUR17" s="3"/>
      <c r="IUY17" s="97"/>
      <c r="IUZ17" s="97"/>
      <c r="IVA17" s="3"/>
      <c r="IVH17" s="97"/>
      <c r="IVI17" s="97"/>
      <c r="IVJ17" s="3"/>
      <c r="IVQ17" s="97"/>
      <c r="IVR17" s="97"/>
      <c r="IVS17" s="3"/>
      <c r="IVZ17" s="97"/>
      <c r="IWA17" s="97"/>
      <c r="IWB17" s="3"/>
      <c r="IWI17" s="97"/>
      <c r="IWJ17" s="97"/>
      <c r="IWK17" s="3"/>
      <c r="IWR17" s="97"/>
      <c r="IWS17" s="97"/>
      <c r="IWT17" s="3"/>
      <c r="IXA17" s="97"/>
      <c r="IXB17" s="97"/>
      <c r="IXC17" s="3"/>
      <c r="IXJ17" s="97"/>
      <c r="IXK17" s="97"/>
      <c r="IXL17" s="3"/>
      <c r="IXS17" s="97"/>
      <c r="IXT17" s="97"/>
      <c r="IXU17" s="3"/>
      <c r="IYB17" s="97"/>
      <c r="IYC17" s="97"/>
      <c r="IYD17" s="3"/>
      <c r="IYK17" s="97"/>
      <c r="IYL17" s="97"/>
      <c r="IYM17" s="3"/>
      <c r="IYT17" s="97"/>
      <c r="IYU17" s="97"/>
      <c r="IYV17" s="3"/>
      <c r="IZC17" s="97"/>
      <c r="IZD17" s="97"/>
      <c r="IZE17" s="3"/>
      <c r="IZL17" s="97"/>
      <c r="IZM17" s="97"/>
      <c r="IZN17" s="3"/>
      <c r="IZU17" s="97"/>
      <c r="IZV17" s="97"/>
      <c r="IZW17" s="3"/>
      <c r="JAD17" s="97"/>
      <c r="JAE17" s="97"/>
      <c r="JAF17" s="3"/>
      <c r="JAM17" s="97"/>
      <c r="JAN17" s="97"/>
      <c r="JAO17" s="3"/>
      <c r="JAV17" s="97"/>
      <c r="JAW17" s="97"/>
      <c r="JAX17" s="3"/>
      <c r="JBE17" s="97"/>
      <c r="JBF17" s="97"/>
      <c r="JBG17" s="3"/>
      <c r="JBN17" s="97"/>
      <c r="JBO17" s="97"/>
      <c r="JBP17" s="3"/>
      <c r="JBW17" s="97"/>
      <c r="JBX17" s="97"/>
      <c r="JBY17" s="3"/>
      <c r="JCF17" s="97"/>
      <c r="JCG17" s="97"/>
      <c r="JCH17" s="3"/>
      <c r="JCO17" s="97"/>
      <c r="JCP17" s="97"/>
      <c r="JCQ17" s="3"/>
      <c r="JCX17" s="97"/>
      <c r="JCY17" s="97"/>
      <c r="JCZ17" s="3"/>
      <c r="JDG17" s="97"/>
      <c r="JDH17" s="97"/>
      <c r="JDI17" s="3"/>
      <c r="JDP17" s="97"/>
      <c r="JDQ17" s="97"/>
      <c r="JDR17" s="3"/>
      <c r="JDY17" s="97"/>
      <c r="JDZ17" s="97"/>
      <c r="JEA17" s="3"/>
      <c r="JEH17" s="97"/>
      <c r="JEI17" s="97"/>
      <c r="JEJ17" s="3"/>
      <c r="JEQ17" s="97"/>
      <c r="JER17" s="97"/>
      <c r="JES17" s="3"/>
      <c r="JEZ17" s="97"/>
      <c r="JFA17" s="97"/>
      <c r="JFB17" s="3"/>
      <c r="JFI17" s="97"/>
      <c r="JFJ17" s="97"/>
      <c r="JFK17" s="3"/>
      <c r="JFR17" s="97"/>
      <c r="JFS17" s="97"/>
      <c r="JFT17" s="3"/>
      <c r="JGA17" s="97"/>
      <c r="JGB17" s="97"/>
      <c r="JGC17" s="3"/>
      <c r="JGJ17" s="97"/>
      <c r="JGK17" s="97"/>
      <c r="JGL17" s="3"/>
      <c r="JGS17" s="97"/>
      <c r="JGT17" s="97"/>
      <c r="JGU17" s="3"/>
      <c r="JHB17" s="97"/>
      <c r="JHC17" s="97"/>
      <c r="JHD17" s="3"/>
      <c r="JHK17" s="97"/>
      <c r="JHL17" s="97"/>
      <c r="JHM17" s="3"/>
      <c r="JHT17" s="97"/>
      <c r="JHU17" s="97"/>
      <c r="JHV17" s="3"/>
      <c r="JIC17" s="97"/>
      <c r="JID17" s="97"/>
      <c r="JIE17" s="3"/>
      <c r="JIL17" s="97"/>
      <c r="JIM17" s="97"/>
      <c r="JIN17" s="3"/>
      <c r="JIU17" s="97"/>
      <c r="JIV17" s="97"/>
      <c r="JIW17" s="3"/>
      <c r="JJD17" s="97"/>
      <c r="JJE17" s="97"/>
      <c r="JJF17" s="3"/>
      <c r="JJM17" s="97"/>
      <c r="JJN17" s="97"/>
      <c r="JJO17" s="3"/>
      <c r="JJV17" s="97"/>
      <c r="JJW17" s="97"/>
      <c r="JJX17" s="3"/>
      <c r="JKE17" s="97"/>
      <c r="JKF17" s="97"/>
      <c r="JKG17" s="3"/>
      <c r="JKN17" s="97"/>
      <c r="JKO17" s="97"/>
      <c r="JKP17" s="3"/>
      <c r="JKW17" s="97"/>
      <c r="JKX17" s="97"/>
      <c r="JKY17" s="3"/>
      <c r="JLF17" s="97"/>
      <c r="JLG17" s="97"/>
      <c r="JLH17" s="3"/>
      <c r="JLO17" s="97"/>
      <c r="JLP17" s="97"/>
      <c r="JLQ17" s="3"/>
      <c r="JLX17" s="97"/>
      <c r="JLY17" s="97"/>
      <c r="JLZ17" s="3"/>
      <c r="JMG17" s="97"/>
      <c r="JMH17" s="97"/>
      <c r="JMI17" s="3"/>
      <c r="JMP17" s="97"/>
      <c r="JMQ17" s="97"/>
      <c r="JMR17" s="3"/>
      <c r="JMY17" s="97"/>
      <c r="JMZ17" s="97"/>
      <c r="JNA17" s="3"/>
      <c r="JNH17" s="97"/>
      <c r="JNI17" s="97"/>
      <c r="JNJ17" s="3"/>
      <c r="JNQ17" s="97"/>
      <c r="JNR17" s="97"/>
      <c r="JNS17" s="3"/>
      <c r="JNZ17" s="97"/>
      <c r="JOA17" s="97"/>
      <c r="JOB17" s="3"/>
      <c r="JOI17" s="97"/>
      <c r="JOJ17" s="97"/>
      <c r="JOK17" s="3"/>
      <c r="JOR17" s="97"/>
      <c r="JOS17" s="97"/>
      <c r="JOT17" s="3"/>
      <c r="JPA17" s="97"/>
      <c r="JPB17" s="97"/>
      <c r="JPC17" s="3"/>
      <c r="JPJ17" s="97"/>
      <c r="JPK17" s="97"/>
      <c r="JPL17" s="3"/>
      <c r="JPS17" s="97"/>
      <c r="JPT17" s="97"/>
      <c r="JPU17" s="3"/>
      <c r="JQB17" s="97"/>
      <c r="JQC17" s="97"/>
      <c r="JQD17" s="3"/>
      <c r="JQK17" s="97"/>
      <c r="JQL17" s="97"/>
      <c r="JQM17" s="3"/>
      <c r="JQT17" s="97"/>
      <c r="JQU17" s="97"/>
      <c r="JQV17" s="3"/>
      <c r="JRC17" s="97"/>
      <c r="JRD17" s="97"/>
      <c r="JRE17" s="3"/>
      <c r="JRL17" s="97"/>
      <c r="JRM17" s="97"/>
      <c r="JRN17" s="3"/>
      <c r="JRU17" s="97"/>
      <c r="JRV17" s="97"/>
      <c r="JRW17" s="3"/>
      <c r="JSD17" s="97"/>
      <c r="JSE17" s="97"/>
      <c r="JSF17" s="3"/>
      <c r="JSM17" s="97"/>
      <c r="JSN17" s="97"/>
      <c r="JSO17" s="3"/>
      <c r="JSV17" s="97"/>
      <c r="JSW17" s="97"/>
      <c r="JSX17" s="3"/>
      <c r="JTE17" s="97"/>
      <c r="JTF17" s="97"/>
      <c r="JTG17" s="3"/>
      <c r="JTN17" s="97"/>
      <c r="JTO17" s="97"/>
      <c r="JTP17" s="3"/>
      <c r="JTW17" s="97"/>
      <c r="JTX17" s="97"/>
      <c r="JTY17" s="3"/>
      <c r="JUF17" s="97"/>
      <c r="JUG17" s="97"/>
      <c r="JUH17" s="3"/>
      <c r="JUO17" s="97"/>
      <c r="JUP17" s="97"/>
      <c r="JUQ17" s="3"/>
      <c r="JUX17" s="97"/>
      <c r="JUY17" s="97"/>
      <c r="JUZ17" s="3"/>
      <c r="JVG17" s="97"/>
      <c r="JVH17" s="97"/>
      <c r="JVI17" s="3"/>
      <c r="JVP17" s="97"/>
      <c r="JVQ17" s="97"/>
      <c r="JVR17" s="3"/>
      <c r="JVY17" s="97"/>
      <c r="JVZ17" s="97"/>
      <c r="JWA17" s="3"/>
      <c r="JWH17" s="97"/>
      <c r="JWI17" s="97"/>
      <c r="JWJ17" s="3"/>
      <c r="JWQ17" s="97"/>
      <c r="JWR17" s="97"/>
      <c r="JWS17" s="3"/>
      <c r="JWZ17" s="97"/>
      <c r="JXA17" s="97"/>
      <c r="JXB17" s="3"/>
      <c r="JXI17" s="97"/>
      <c r="JXJ17" s="97"/>
      <c r="JXK17" s="3"/>
      <c r="JXR17" s="97"/>
      <c r="JXS17" s="97"/>
      <c r="JXT17" s="3"/>
      <c r="JYA17" s="97"/>
      <c r="JYB17" s="97"/>
      <c r="JYC17" s="3"/>
      <c r="JYJ17" s="97"/>
      <c r="JYK17" s="97"/>
      <c r="JYL17" s="3"/>
      <c r="JYS17" s="97"/>
      <c r="JYT17" s="97"/>
      <c r="JYU17" s="3"/>
      <c r="JZB17" s="97"/>
      <c r="JZC17" s="97"/>
      <c r="JZD17" s="3"/>
      <c r="JZK17" s="97"/>
      <c r="JZL17" s="97"/>
      <c r="JZM17" s="3"/>
      <c r="JZT17" s="97"/>
      <c r="JZU17" s="97"/>
      <c r="JZV17" s="3"/>
      <c r="KAC17" s="97"/>
      <c r="KAD17" s="97"/>
      <c r="KAE17" s="3"/>
      <c r="KAL17" s="97"/>
      <c r="KAM17" s="97"/>
      <c r="KAN17" s="3"/>
      <c r="KAU17" s="97"/>
      <c r="KAV17" s="97"/>
      <c r="KAW17" s="3"/>
      <c r="KBD17" s="97"/>
      <c r="KBE17" s="97"/>
      <c r="KBF17" s="3"/>
      <c r="KBM17" s="97"/>
      <c r="KBN17" s="97"/>
      <c r="KBO17" s="3"/>
      <c r="KBV17" s="97"/>
      <c r="KBW17" s="97"/>
      <c r="KBX17" s="3"/>
      <c r="KCE17" s="97"/>
      <c r="KCF17" s="97"/>
      <c r="KCG17" s="3"/>
      <c r="KCN17" s="97"/>
      <c r="KCO17" s="97"/>
      <c r="KCP17" s="3"/>
      <c r="KCW17" s="97"/>
      <c r="KCX17" s="97"/>
      <c r="KCY17" s="3"/>
      <c r="KDF17" s="97"/>
      <c r="KDG17" s="97"/>
      <c r="KDH17" s="3"/>
      <c r="KDO17" s="97"/>
      <c r="KDP17" s="97"/>
      <c r="KDQ17" s="3"/>
      <c r="KDX17" s="97"/>
      <c r="KDY17" s="97"/>
      <c r="KDZ17" s="3"/>
      <c r="KEG17" s="97"/>
      <c r="KEH17" s="97"/>
      <c r="KEI17" s="3"/>
      <c r="KEP17" s="97"/>
      <c r="KEQ17" s="97"/>
      <c r="KER17" s="3"/>
      <c r="KEY17" s="97"/>
      <c r="KEZ17" s="97"/>
      <c r="KFA17" s="3"/>
      <c r="KFH17" s="97"/>
      <c r="KFI17" s="97"/>
      <c r="KFJ17" s="3"/>
      <c r="KFQ17" s="97"/>
      <c r="KFR17" s="97"/>
      <c r="KFS17" s="3"/>
      <c r="KFZ17" s="97"/>
      <c r="KGA17" s="97"/>
      <c r="KGB17" s="3"/>
      <c r="KGI17" s="97"/>
      <c r="KGJ17" s="97"/>
      <c r="KGK17" s="3"/>
      <c r="KGR17" s="97"/>
      <c r="KGS17" s="97"/>
      <c r="KGT17" s="3"/>
      <c r="KHA17" s="97"/>
      <c r="KHB17" s="97"/>
      <c r="KHC17" s="3"/>
      <c r="KHJ17" s="97"/>
      <c r="KHK17" s="97"/>
      <c r="KHL17" s="3"/>
      <c r="KHS17" s="97"/>
      <c r="KHT17" s="97"/>
      <c r="KHU17" s="3"/>
      <c r="KIB17" s="97"/>
      <c r="KIC17" s="97"/>
      <c r="KID17" s="3"/>
      <c r="KIK17" s="97"/>
      <c r="KIL17" s="97"/>
      <c r="KIM17" s="3"/>
      <c r="KIT17" s="97"/>
      <c r="KIU17" s="97"/>
      <c r="KIV17" s="3"/>
      <c r="KJC17" s="97"/>
      <c r="KJD17" s="97"/>
      <c r="KJE17" s="3"/>
      <c r="KJL17" s="97"/>
      <c r="KJM17" s="97"/>
      <c r="KJN17" s="3"/>
      <c r="KJU17" s="97"/>
      <c r="KJV17" s="97"/>
      <c r="KJW17" s="3"/>
      <c r="KKD17" s="97"/>
      <c r="KKE17" s="97"/>
      <c r="KKF17" s="3"/>
      <c r="KKM17" s="97"/>
      <c r="KKN17" s="97"/>
      <c r="KKO17" s="3"/>
      <c r="KKV17" s="97"/>
      <c r="KKW17" s="97"/>
      <c r="KKX17" s="3"/>
      <c r="KLE17" s="97"/>
      <c r="KLF17" s="97"/>
      <c r="KLG17" s="3"/>
      <c r="KLN17" s="97"/>
      <c r="KLO17" s="97"/>
      <c r="KLP17" s="3"/>
      <c r="KLW17" s="97"/>
      <c r="KLX17" s="97"/>
      <c r="KLY17" s="3"/>
      <c r="KMF17" s="97"/>
      <c r="KMG17" s="97"/>
      <c r="KMH17" s="3"/>
      <c r="KMO17" s="97"/>
      <c r="KMP17" s="97"/>
      <c r="KMQ17" s="3"/>
      <c r="KMX17" s="97"/>
      <c r="KMY17" s="97"/>
      <c r="KMZ17" s="3"/>
      <c r="KNG17" s="97"/>
      <c r="KNH17" s="97"/>
      <c r="KNI17" s="3"/>
      <c r="KNP17" s="97"/>
      <c r="KNQ17" s="97"/>
      <c r="KNR17" s="3"/>
      <c r="KNY17" s="97"/>
      <c r="KNZ17" s="97"/>
      <c r="KOA17" s="3"/>
      <c r="KOH17" s="97"/>
      <c r="KOI17" s="97"/>
      <c r="KOJ17" s="3"/>
      <c r="KOQ17" s="97"/>
      <c r="KOR17" s="97"/>
      <c r="KOS17" s="3"/>
      <c r="KOZ17" s="97"/>
      <c r="KPA17" s="97"/>
      <c r="KPB17" s="3"/>
      <c r="KPI17" s="97"/>
      <c r="KPJ17" s="97"/>
      <c r="KPK17" s="3"/>
      <c r="KPR17" s="97"/>
      <c r="KPS17" s="97"/>
      <c r="KPT17" s="3"/>
      <c r="KQA17" s="97"/>
      <c r="KQB17" s="97"/>
      <c r="KQC17" s="3"/>
      <c r="KQJ17" s="97"/>
      <c r="KQK17" s="97"/>
      <c r="KQL17" s="3"/>
      <c r="KQS17" s="97"/>
      <c r="KQT17" s="97"/>
      <c r="KQU17" s="3"/>
      <c r="KRB17" s="97"/>
      <c r="KRC17" s="97"/>
      <c r="KRD17" s="3"/>
      <c r="KRK17" s="97"/>
      <c r="KRL17" s="97"/>
      <c r="KRM17" s="3"/>
      <c r="KRT17" s="97"/>
      <c r="KRU17" s="97"/>
      <c r="KRV17" s="3"/>
      <c r="KSC17" s="97"/>
      <c r="KSD17" s="97"/>
      <c r="KSE17" s="3"/>
      <c r="KSL17" s="97"/>
      <c r="KSM17" s="97"/>
      <c r="KSN17" s="3"/>
      <c r="KSU17" s="97"/>
      <c r="KSV17" s="97"/>
      <c r="KSW17" s="3"/>
      <c r="KTD17" s="97"/>
      <c r="KTE17" s="97"/>
      <c r="KTF17" s="3"/>
      <c r="KTM17" s="97"/>
      <c r="KTN17" s="97"/>
      <c r="KTO17" s="3"/>
      <c r="KTV17" s="97"/>
      <c r="KTW17" s="97"/>
      <c r="KTX17" s="3"/>
      <c r="KUE17" s="97"/>
      <c r="KUF17" s="97"/>
      <c r="KUG17" s="3"/>
      <c r="KUN17" s="97"/>
      <c r="KUO17" s="97"/>
      <c r="KUP17" s="3"/>
      <c r="KUW17" s="97"/>
      <c r="KUX17" s="97"/>
      <c r="KUY17" s="3"/>
      <c r="KVF17" s="97"/>
      <c r="KVG17" s="97"/>
      <c r="KVH17" s="3"/>
      <c r="KVO17" s="97"/>
      <c r="KVP17" s="97"/>
      <c r="KVQ17" s="3"/>
      <c r="KVX17" s="97"/>
      <c r="KVY17" s="97"/>
      <c r="KVZ17" s="3"/>
      <c r="KWG17" s="97"/>
      <c r="KWH17" s="97"/>
      <c r="KWI17" s="3"/>
      <c r="KWP17" s="97"/>
      <c r="KWQ17" s="97"/>
      <c r="KWR17" s="3"/>
      <c r="KWY17" s="97"/>
      <c r="KWZ17" s="97"/>
      <c r="KXA17" s="3"/>
      <c r="KXH17" s="97"/>
      <c r="KXI17" s="97"/>
      <c r="KXJ17" s="3"/>
      <c r="KXQ17" s="97"/>
      <c r="KXR17" s="97"/>
      <c r="KXS17" s="3"/>
      <c r="KXZ17" s="97"/>
      <c r="KYA17" s="97"/>
      <c r="KYB17" s="3"/>
      <c r="KYI17" s="97"/>
      <c r="KYJ17" s="97"/>
      <c r="KYK17" s="3"/>
      <c r="KYR17" s="97"/>
      <c r="KYS17" s="97"/>
      <c r="KYT17" s="3"/>
      <c r="KZA17" s="97"/>
      <c r="KZB17" s="97"/>
      <c r="KZC17" s="3"/>
      <c r="KZJ17" s="97"/>
      <c r="KZK17" s="97"/>
      <c r="KZL17" s="3"/>
      <c r="KZS17" s="97"/>
      <c r="KZT17" s="97"/>
      <c r="KZU17" s="3"/>
      <c r="LAB17" s="97"/>
      <c r="LAC17" s="97"/>
      <c r="LAD17" s="3"/>
      <c r="LAK17" s="97"/>
      <c r="LAL17" s="97"/>
      <c r="LAM17" s="3"/>
      <c r="LAT17" s="97"/>
      <c r="LAU17" s="97"/>
      <c r="LAV17" s="3"/>
      <c r="LBC17" s="97"/>
      <c r="LBD17" s="97"/>
      <c r="LBE17" s="3"/>
      <c r="LBL17" s="97"/>
      <c r="LBM17" s="97"/>
      <c r="LBN17" s="3"/>
      <c r="LBU17" s="97"/>
      <c r="LBV17" s="97"/>
      <c r="LBW17" s="3"/>
      <c r="LCD17" s="97"/>
      <c r="LCE17" s="97"/>
      <c r="LCF17" s="3"/>
      <c r="LCM17" s="97"/>
      <c r="LCN17" s="97"/>
      <c r="LCO17" s="3"/>
      <c r="LCV17" s="97"/>
      <c r="LCW17" s="97"/>
      <c r="LCX17" s="3"/>
      <c r="LDE17" s="97"/>
      <c r="LDF17" s="97"/>
      <c r="LDG17" s="3"/>
      <c r="LDN17" s="97"/>
      <c r="LDO17" s="97"/>
      <c r="LDP17" s="3"/>
      <c r="LDW17" s="97"/>
      <c r="LDX17" s="97"/>
      <c r="LDY17" s="3"/>
      <c r="LEF17" s="97"/>
      <c r="LEG17" s="97"/>
      <c r="LEH17" s="3"/>
      <c r="LEO17" s="97"/>
      <c r="LEP17" s="97"/>
      <c r="LEQ17" s="3"/>
      <c r="LEX17" s="97"/>
      <c r="LEY17" s="97"/>
      <c r="LEZ17" s="3"/>
      <c r="LFG17" s="97"/>
      <c r="LFH17" s="97"/>
      <c r="LFI17" s="3"/>
      <c r="LFP17" s="97"/>
      <c r="LFQ17" s="97"/>
      <c r="LFR17" s="3"/>
      <c r="LFY17" s="97"/>
      <c r="LFZ17" s="97"/>
      <c r="LGA17" s="3"/>
      <c r="LGH17" s="97"/>
      <c r="LGI17" s="97"/>
      <c r="LGJ17" s="3"/>
      <c r="LGQ17" s="97"/>
      <c r="LGR17" s="97"/>
      <c r="LGS17" s="3"/>
      <c r="LGZ17" s="97"/>
      <c r="LHA17" s="97"/>
      <c r="LHB17" s="3"/>
      <c r="LHI17" s="97"/>
      <c r="LHJ17" s="97"/>
      <c r="LHK17" s="3"/>
      <c r="LHR17" s="97"/>
      <c r="LHS17" s="97"/>
      <c r="LHT17" s="3"/>
      <c r="LIA17" s="97"/>
      <c r="LIB17" s="97"/>
      <c r="LIC17" s="3"/>
      <c r="LIJ17" s="97"/>
      <c r="LIK17" s="97"/>
      <c r="LIL17" s="3"/>
      <c r="LIS17" s="97"/>
      <c r="LIT17" s="97"/>
      <c r="LIU17" s="3"/>
      <c r="LJB17" s="97"/>
      <c r="LJC17" s="97"/>
      <c r="LJD17" s="3"/>
      <c r="LJK17" s="97"/>
      <c r="LJL17" s="97"/>
      <c r="LJM17" s="3"/>
      <c r="LJT17" s="97"/>
      <c r="LJU17" s="97"/>
      <c r="LJV17" s="3"/>
      <c r="LKC17" s="97"/>
      <c r="LKD17" s="97"/>
      <c r="LKE17" s="3"/>
      <c r="LKL17" s="97"/>
      <c r="LKM17" s="97"/>
      <c r="LKN17" s="3"/>
      <c r="LKU17" s="97"/>
      <c r="LKV17" s="97"/>
      <c r="LKW17" s="3"/>
      <c r="LLD17" s="97"/>
      <c r="LLE17" s="97"/>
      <c r="LLF17" s="3"/>
      <c r="LLM17" s="97"/>
      <c r="LLN17" s="97"/>
      <c r="LLO17" s="3"/>
      <c r="LLV17" s="97"/>
      <c r="LLW17" s="97"/>
      <c r="LLX17" s="3"/>
      <c r="LME17" s="97"/>
      <c r="LMF17" s="97"/>
      <c r="LMG17" s="3"/>
      <c r="LMN17" s="97"/>
      <c r="LMO17" s="97"/>
      <c r="LMP17" s="3"/>
      <c r="LMW17" s="97"/>
      <c r="LMX17" s="97"/>
      <c r="LMY17" s="3"/>
      <c r="LNF17" s="97"/>
      <c r="LNG17" s="97"/>
      <c r="LNH17" s="3"/>
      <c r="LNO17" s="97"/>
      <c r="LNP17" s="97"/>
      <c r="LNQ17" s="3"/>
      <c r="LNX17" s="97"/>
      <c r="LNY17" s="97"/>
      <c r="LNZ17" s="3"/>
      <c r="LOG17" s="97"/>
      <c r="LOH17" s="97"/>
      <c r="LOI17" s="3"/>
      <c r="LOP17" s="97"/>
      <c r="LOQ17" s="97"/>
      <c r="LOR17" s="3"/>
      <c r="LOY17" s="97"/>
      <c r="LOZ17" s="97"/>
      <c r="LPA17" s="3"/>
      <c r="LPH17" s="97"/>
      <c r="LPI17" s="97"/>
      <c r="LPJ17" s="3"/>
      <c r="LPQ17" s="97"/>
      <c r="LPR17" s="97"/>
      <c r="LPS17" s="3"/>
      <c r="LPZ17" s="97"/>
      <c r="LQA17" s="97"/>
      <c r="LQB17" s="3"/>
      <c r="LQI17" s="97"/>
      <c r="LQJ17" s="97"/>
      <c r="LQK17" s="3"/>
      <c r="LQR17" s="97"/>
      <c r="LQS17" s="97"/>
      <c r="LQT17" s="3"/>
      <c r="LRA17" s="97"/>
      <c r="LRB17" s="97"/>
      <c r="LRC17" s="3"/>
      <c r="LRJ17" s="97"/>
      <c r="LRK17" s="97"/>
      <c r="LRL17" s="3"/>
      <c r="LRS17" s="97"/>
      <c r="LRT17" s="97"/>
      <c r="LRU17" s="3"/>
      <c r="LSB17" s="97"/>
      <c r="LSC17" s="97"/>
      <c r="LSD17" s="3"/>
      <c r="LSK17" s="97"/>
      <c r="LSL17" s="97"/>
      <c r="LSM17" s="3"/>
      <c r="LST17" s="97"/>
      <c r="LSU17" s="97"/>
      <c r="LSV17" s="3"/>
      <c r="LTC17" s="97"/>
      <c r="LTD17" s="97"/>
      <c r="LTE17" s="3"/>
      <c r="LTL17" s="97"/>
      <c r="LTM17" s="97"/>
      <c r="LTN17" s="3"/>
      <c r="LTU17" s="97"/>
      <c r="LTV17" s="97"/>
      <c r="LTW17" s="3"/>
      <c r="LUD17" s="97"/>
      <c r="LUE17" s="97"/>
      <c r="LUF17" s="3"/>
      <c r="LUM17" s="97"/>
      <c r="LUN17" s="97"/>
      <c r="LUO17" s="3"/>
      <c r="LUV17" s="97"/>
      <c r="LUW17" s="97"/>
      <c r="LUX17" s="3"/>
      <c r="LVE17" s="97"/>
      <c r="LVF17" s="97"/>
      <c r="LVG17" s="3"/>
      <c r="LVN17" s="97"/>
      <c r="LVO17" s="97"/>
      <c r="LVP17" s="3"/>
      <c r="LVW17" s="97"/>
      <c r="LVX17" s="97"/>
      <c r="LVY17" s="3"/>
      <c r="LWF17" s="97"/>
      <c r="LWG17" s="97"/>
      <c r="LWH17" s="3"/>
      <c r="LWO17" s="97"/>
      <c r="LWP17" s="97"/>
      <c r="LWQ17" s="3"/>
      <c r="LWX17" s="97"/>
      <c r="LWY17" s="97"/>
      <c r="LWZ17" s="3"/>
      <c r="LXG17" s="97"/>
      <c r="LXH17" s="97"/>
      <c r="LXI17" s="3"/>
      <c r="LXP17" s="97"/>
      <c r="LXQ17" s="97"/>
      <c r="LXR17" s="3"/>
      <c r="LXY17" s="97"/>
      <c r="LXZ17" s="97"/>
      <c r="LYA17" s="3"/>
      <c r="LYH17" s="97"/>
      <c r="LYI17" s="97"/>
      <c r="LYJ17" s="3"/>
      <c r="LYQ17" s="97"/>
      <c r="LYR17" s="97"/>
      <c r="LYS17" s="3"/>
      <c r="LYZ17" s="97"/>
      <c r="LZA17" s="97"/>
      <c r="LZB17" s="3"/>
      <c r="LZI17" s="97"/>
      <c r="LZJ17" s="97"/>
      <c r="LZK17" s="3"/>
      <c r="LZR17" s="97"/>
      <c r="LZS17" s="97"/>
      <c r="LZT17" s="3"/>
      <c r="MAA17" s="97"/>
      <c r="MAB17" s="97"/>
      <c r="MAC17" s="3"/>
      <c r="MAJ17" s="97"/>
      <c r="MAK17" s="97"/>
      <c r="MAL17" s="3"/>
      <c r="MAS17" s="97"/>
      <c r="MAT17" s="97"/>
      <c r="MAU17" s="3"/>
      <c r="MBB17" s="97"/>
      <c r="MBC17" s="97"/>
      <c r="MBD17" s="3"/>
      <c r="MBK17" s="97"/>
      <c r="MBL17" s="97"/>
      <c r="MBM17" s="3"/>
      <c r="MBT17" s="97"/>
      <c r="MBU17" s="97"/>
      <c r="MBV17" s="3"/>
      <c r="MCC17" s="97"/>
      <c r="MCD17" s="97"/>
      <c r="MCE17" s="3"/>
      <c r="MCL17" s="97"/>
      <c r="MCM17" s="97"/>
      <c r="MCN17" s="3"/>
      <c r="MCU17" s="97"/>
      <c r="MCV17" s="97"/>
      <c r="MCW17" s="3"/>
      <c r="MDD17" s="97"/>
      <c r="MDE17" s="97"/>
      <c r="MDF17" s="3"/>
      <c r="MDM17" s="97"/>
      <c r="MDN17" s="97"/>
      <c r="MDO17" s="3"/>
      <c r="MDV17" s="97"/>
      <c r="MDW17" s="97"/>
      <c r="MDX17" s="3"/>
      <c r="MEE17" s="97"/>
      <c r="MEF17" s="97"/>
      <c r="MEG17" s="3"/>
      <c r="MEN17" s="97"/>
      <c r="MEO17" s="97"/>
      <c r="MEP17" s="3"/>
      <c r="MEW17" s="97"/>
      <c r="MEX17" s="97"/>
      <c r="MEY17" s="3"/>
      <c r="MFF17" s="97"/>
      <c r="MFG17" s="97"/>
      <c r="MFH17" s="3"/>
      <c r="MFO17" s="97"/>
      <c r="MFP17" s="97"/>
      <c r="MFQ17" s="3"/>
      <c r="MFX17" s="97"/>
      <c r="MFY17" s="97"/>
      <c r="MFZ17" s="3"/>
      <c r="MGG17" s="97"/>
      <c r="MGH17" s="97"/>
      <c r="MGI17" s="3"/>
      <c r="MGP17" s="97"/>
      <c r="MGQ17" s="97"/>
      <c r="MGR17" s="3"/>
      <c r="MGY17" s="97"/>
      <c r="MGZ17" s="97"/>
      <c r="MHA17" s="3"/>
      <c r="MHH17" s="97"/>
      <c r="MHI17" s="97"/>
      <c r="MHJ17" s="3"/>
      <c r="MHQ17" s="97"/>
      <c r="MHR17" s="97"/>
      <c r="MHS17" s="3"/>
      <c r="MHZ17" s="97"/>
      <c r="MIA17" s="97"/>
      <c r="MIB17" s="3"/>
      <c r="MII17" s="97"/>
      <c r="MIJ17" s="97"/>
      <c r="MIK17" s="3"/>
      <c r="MIR17" s="97"/>
      <c r="MIS17" s="97"/>
      <c r="MIT17" s="3"/>
      <c r="MJA17" s="97"/>
      <c r="MJB17" s="97"/>
      <c r="MJC17" s="3"/>
      <c r="MJJ17" s="97"/>
      <c r="MJK17" s="97"/>
      <c r="MJL17" s="3"/>
      <c r="MJS17" s="97"/>
      <c r="MJT17" s="97"/>
      <c r="MJU17" s="3"/>
      <c r="MKB17" s="97"/>
      <c r="MKC17" s="97"/>
      <c r="MKD17" s="3"/>
      <c r="MKK17" s="97"/>
      <c r="MKL17" s="97"/>
      <c r="MKM17" s="3"/>
      <c r="MKT17" s="97"/>
      <c r="MKU17" s="97"/>
      <c r="MKV17" s="3"/>
      <c r="MLC17" s="97"/>
      <c r="MLD17" s="97"/>
      <c r="MLE17" s="3"/>
      <c r="MLL17" s="97"/>
      <c r="MLM17" s="97"/>
      <c r="MLN17" s="3"/>
      <c r="MLU17" s="97"/>
      <c r="MLV17" s="97"/>
      <c r="MLW17" s="3"/>
      <c r="MMD17" s="97"/>
      <c r="MME17" s="97"/>
      <c r="MMF17" s="3"/>
      <c r="MMM17" s="97"/>
      <c r="MMN17" s="97"/>
      <c r="MMO17" s="3"/>
      <c r="MMV17" s="97"/>
      <c r="MMW17" s="97"/>
      <c r="MMX17" s="3"/>
      <c r="MNE17" s="97"/>
      <c r="MNF17" s="97"/>
      <c r="MNG17" s="3"/>
      <c r="MNN17" s="97"/>
      <c r="MNO17" s="97"/>
      <c r="MNP17" s="3"/>
      <c r="MNW17" s="97"/>
      <c r="MNX17" s="97"/>
      <c r="MNY17" s="3"/>
      <c r="MOF17" s="97"/>
      <c r="MOG17" s="97"/>
      <c r="MOH17" s="3"/>
      <c r="MOO17" s="97"/>
      <c r="MOP17" s="97"/>
      <c r="MOQ17" s="3"/>
      <c r="MOX17" s="97"/>
      <c r="MOY17" s="97"/>
      <c r="MOZ17" s="3"/>
      <c r="MPG17" s="97"/>
      <c r="MPH17" s="97"/>
      <c r="MPI17" s="3"/>
      <c r="MPP17" s="97"/>
      <c r="MPQ17" s="97"/>
      <c r="MPR17" s="3"/>
      <c r="MPY17" s="97"/>
      <c r="MPZ17" s="97"/>
      <c r="MQA17" s="3"/>
      <c r="MQH17" s="97"/>
      <c r="MQI17" s="97"/>
      <c r="MQJ17" s="3"/>
      <c r="MQQ17" s="97"/>
      <c r="MQR17" s="97"/>
      <c r="MQS17" s="3"/>
      <c r="MQZ17" s="97"/>
      <c r="MRA17" s="97"/>
      <c r="MRB17" s="3"/>
      <c r="MRI17" s="97"/>
      <c r="MRJ17" s="97"/>
      <c r="MRK17" s="3"/>
      <c r="MRR17" s="97"/>
      <c r="MRS17" s="97"/>
      <c r="MRT17" s="3"/>
      <c r="MSA17" s="97"/>
      <c r="MSB17" s="97"/>
      <c r="MSC17" s="3"/>
      <c r="MSJ17" s="97"/>
      <c r="MSK17" s="97"/>
      <c r="MSL17" s="3"/>
      <c r="MSS17" s="97"/>
      <c r="MST17" s="97"/>
      <c r="MSU17" s="3"/>
      <c r="MTB17" s="97"/>
      <c r="MTC17" s="97"/>
      <c r="MTD17" s="3"/>
      <c r="MTK17" s="97"/>
      <c r="MTL17" s="97"/>
      <c r="MTM17" s="3"/>
      <c r="MTT17" s="97"/>
      <c r="MTU17" s="97"/>
      <c r="MTV17" s="3"/>
      <c r="MUC17" s="97"/>
      <c r="MUD17" s="97"/>
      <c r="MUE17" s="3"/>
      <c r="MUL17" s="97"/>
      <c r="MUM17" s="97"/>
      <c r="MUN17" s="3"/>
      <c r="MUU17" s="97"/>
      <c r="MUV17" s="97"/>
      <c r="MUW17" s="3"/>
      <c r="MVD17" s="97"/>
      <c r="MVE17" s="97"/>
      <c r="MVF17" s="3"/>
      <c r="MVM17" s="97"/>
      <c r="MVN17" s="97"/>
      <c r="MVO17" s="3"/>
      <c r="MVV17" s="97"/>
      <c r="MVW17" s="97"/>
      <c r="MVX17" s="3"/>
      <c r="MWE17" s="97"/>
      <c r="MWF17" s="97"/>
      <c r="MWG17" s="3"/>
      <c r="MWN17" s="97"/>
      <c r="MWO17" s="97"/>
      <c r="MWP17" s="3"/>
      <c r="MWW17" s="97"/>
      <c r="MWX17" s="97"/>
      <c r="MWY17" s="3"/>
      <c r="MXF17" s="97"/>
      <c r="MXG17" s="97"/>
      <c r="MXH17" s="3"/>
      <c r="MXO17" s="97"/>
      <c r="MXP17" s="97"/>
      <c r="MXQ17" s="3"/>
      <c r="MXX17" s="97"/>
      <c r="MXY17" s="97"/>
      <c r="MXZ17" s="3"/>
      <c r="MYG17" s="97"/>
      <c r="MYH17" s="97"/>
      <c r="MYI17" s="3"/>
      <c r="MYP17" s="97"/>
      <c r="MYQ17" s="97"/>
      <c r="MYR17" s="3"/>
      <c r="MYY17" s="97"/>
      <c r="MYZ17" s="97"/>
      <c r="MZA17" s="3"/>
      <c r="MZH17" s="97"/>
      <c r="MZI17" s="97"/>
      <c r="MZJ17" s="3"/>
      <c r="MZQ17" s="97"/>
      <c r="MZR17" s="97"/>
      <c r="MZS17" s="3"/>
      <c r="MZZ17" s="97"/>
      <c r="NAA17" s="97"/>
      <c r="NAB17" s="3"/>
      <c r="NAI17" s="97"/>
      <c r="NAJ17" s="97"/>
      <c r="NAK17" s="3"/>
      <c r="NAR17" s="97"/>
      <c r="NAS17" s="97"/>
      <c r="NAT17" s="3"/>
      <c r="NBA17" s="97"/>
      <c r="NBB17" s="97"/>
      <c r="NBC17" s="3"/>
      <c r="NBJ17" s="97"/>
      <c r="NBK17" s="97"/>
      <c r="NBL17" s="3"/>
      <c r="NBS17" s="97"/>
      <c r="NBT17" s="97"/>
      <c r="NBU17" s="3"/>
      <c r="NCB17" s="97"/>
      <c r="NCC17" s="97"/>
      <c r="NCD17" s="3"/>
      <c r="NCK17" s="97"/>
      <c r="NCL17" s="97"/>
      <c r="NCM17" s="3"/>
      <c r="NCT17" s="97"/>
      <c r="NCU17" s="97"/>
      <c r="NCV17" s="3"/>
      <c r="NDC17" s="97"/>
      <c r="NDD17" s="97"/>
      <c r="NDE17" s="3"/>
      <c r="NDL17" s="97"/>
      <c r="NDM17" s="97"/>
      <c r="NDN17" s="3"/>
      <c r="NDU17" s="97"/>
      <c r="NDV17" s="97"/>
      <c r="NDW17" s="3"/>
      <c r="NED17" s="97"/>
      <c r="NEE17" s="97"/>
      <c r="NEF17" s="3"/>
      <c r="NEM17" s="97"/>
      <c r="NEN17" s="97"/>
      <c r="NEO17" s="3"/>
      <c r="NEV17" s="97"/>
      <c r="NEW17" s="97"/>
      <c r="NEX17" s="3"/>
      <c r="NFE17" s="97"/>
      <c r="NFF17" s="97"/>
      <c r="NFG17" s="3"/>
      <c r="NFN17" s="97"/>
      <c r="NFO17" s="97"/>
      <c r="NFP17" s="3"/>
      <c r="NFW17" s="97"/>
      <c r="NFX17" s="97"/>
      <c r="NFY17" s="3"/>
      <c r="NGF17" s="97"/>
      <c r="NGG17" s="97"/>
      <c r="NGH17" s="3"/>
      <c r="NGO17" s="97"/>
      <c r="NGP17" s="97"/>
      <c r="NGQ17" s="3"/>
      <c r="NGX17" s="97"/>
      <c r="NGY17" s="97"/>
      <c r="NGZ17" s="3"/>
      <c r="NHG17" s="97"/>
      <c r="NHH17" s="97"/>
      <c r="NHI17" s="3"/>
      <c r="NHP17" s="97"/>
      <c r="NHQ17" s="97"/>
      <c r="NHR17" s="3"/>
      <c r="NHY17" s="97"/>
      <c r="NHZ17" s="97"/>
      <c r="NIA17" s="3"/>
      <c r="NIH17" s="97"/>
      <c r="NII17" s="97"/>
      <c r="NIJ17" s="3"/>
      <c r="NIQ17" s="97"/>
      <c r="NIR17" s="97"/>
      <c r="NIS17" s="3"/>
      <c r="NIZ17" s="97"/>
      <c r="NJA17" s="97"/>
      <c r="NJB17" s="3"/>
      <c r="NJI17" s="97"/>
      <c r="NJJ17" s="97"/>
      <c r="NJK17" s="3"/>
      <c r="NJR17" s="97"/>
      <c r="NJS17" s="97"/>
      <c r="NJT17" s="3"/>
      <c r="NKA17" s="97"/>
      <c r="NKB17" s="97"/>
      <c r="NKC17" s="3"/>
      <c r="NKJ17" s="97"/>
      <c r="NKK17" s="97"/>
      <c r="NKL17" s="3"/>
      <c r="NKS17" s="97"/>
      <c r="NKT17" s="97"/>
      <c r="NKU17" s="3"/>
      <c r="NLB17" s="97"/>
      <c r="NLC17" s="97"/>
      <c r="NLD17" s="3"/>
      <c r="NLK17" s="97"/>
      <c r="NLL17" s="97"/>
      <c r="NLM17" s="3"/>
      <c r="NLT17" s="97"/>
      <c r="NLU17" s="97"/>
      <c r="NLV17" s="3"/>
      <c r="NMC17" s="97"/>
      <c r="NMD17" s="97"/>
      <c r="NME17" s="3"/>
      <c r="NML17" s="97"/>
      <c r="NMM17" s="97"/>
      <c r="NMN17" s="3"/>
      <c r="NMU17" s="97"/>
      <c r="NMV17" s="97"/>
      <c r="NMW17" s="3"/>
      <c r="NND17" s="97"/>
      <c r="NNE17" s="97"/>
      <c r="NNF17" s="3"/>
      <c r="NNM17" s="97"/>
      <c r="NNN17" s="97"/>
      <c r="NNO17" s="3"/>
      <c r="NNV17" s="97"/>
      <c r="NNW17" s="97"/>
      <c r="NNX17" s="3"/>
      <c r="NOE17" s="97"/>
      <c r="NOF17" s="97"/>
      <c r="NOG17" s="3"/>
      <c r="NON17" s="97"/>
      <c r="NOO17" s="97"/>
      <c r="NOP17" s="3"/>
      <c r="NOW17" s="97"/>
      <c r="NOX17" s="97"/>
      <c r="NOY17" s="3"/>
      <c r="NPF17" s="97"/>
      <c r="NPG17" s="97"/>
      <c r="NPH17" s="3"/>
      <c r="NPO17" s="97"/>
      <c r="NPP17" s="97"/>
      <c r="NPQ17" s="3"/>
      <c r="NPX17" s="97"/>
      <c r="NPY17" s="97"/>
      <c r="NPZ17" s="3"/>
      <c r="NQG17" s="97"/>
      <c r="NQH17" s="97"/>
      <c r="NQI17" s="3"/>
      <c r="NQP17" s="97"/>
      <c r="NQQ17" s="97"/>
      <c r="NQR17" s="3"/>
      <c r="NQY17" s="97"/>
      <c r="NQZ17" s="97"/>
      <c r="NRA17" s="3"/>
      <c r="NRH17" s="97"/>
      <c r="NRI17" s="97"/>
      <c r="NRJ17" s="3"/>
      <c r="NRQ17" s="97"/>
      <c r="NRR17" s="97"/>
      <c r="NRS17" s="3"/>
      <c r="NRZ17" s="97"/>
      <c r="NSA17" s="97"/>
      <c r="NSB17" s="3"/>
      <c r="NSI17" s="97"/>
      <c r="NSJ17" s="97"/>
      <c r="NSK17" s="3"/>
      <c r="NSR17" s="97"/>
      <c r="NSS17" s="97"/>
      <c r="NST17" s="3"/>
      <c r="NTA17" s="97"/>
      <c r="NTB17" s="97"/>
      <c r="NTC17" s="3"/>
      <c r="NTJ17" s="97"/>
      <c r="NTK17" s="97"/>
      <c r="NTL17" s="3"/>
      <c r="NTS17" s="97"/>
      <c r="NTT17" s="97"/>
      <c r="NTU17" s="3"/>
      <c r="NUB17" s="97"/>
      <c r="NUC17" s="97"/>
      <c r="NUD17" s="3"/>
      <c r="NUK17" s="97"/>
      <c r="NUL17" s="97"/>
      <c r="NUM17" s="3"/>
      <c r="NUT17" s="97"/>
      <c r="NUU17" s="97"/>
      <c r="NUV17" s="3"/>
      <c r="NVC17" s="97"/>
      <c r="NVD17" s="97"/>
      <c r="NVE17" s="3"/>
      <c r="NVL17" s="97"/>
      <c r="NVM17" s="97"/>
      <c r="NVN17" s="3"/>
      <c r="NVU17" s="97"/>
      <c r="NVV17" s="97"/>
      <c r="NVW17" s="3"/>
      <c r="NWD17" s="97"/>
      <c r="NWE17" s="97"/>
      <c r="NWF17" s="3"/>
      <c r="NWM17" s="97"/>
      <c r="NWN17" s="97"/>
      <c r="NWO17" s="3"/>
      <c r="NWV17" s="97"/>
      <c r="NWW17" s="97"/>
      <c r="NWX17" s="3"/>
      <c r="NXE17" s="97"/>
      <c r="NXF17" s="97"/>
      <c r="NXG17" s="3"/>
      <c r="NXN17" s="97"/>
      <c r="NXO17" s="97"/>
      <c r="NXP17" s="3"/>
      <c r="NXW17" s="97"/>
      <c r="NXX17" s="97"/>
      <c r="NXY17" s="3"/>
      <c r="NYF17" s="97"/>
      <c r="NYG17" s="97"/>
      <c r="NYH17" s="3"/>
      <c r="NYO17" s="97"/>
      <c r="NYP17" s="97"/>
      <c r="NYQ17" s="3"/>
      <c r="NYX17" s="97"/>
      <c r="NYY17" s="97"/>
      <c r="NYZ17" s="3"/>
      <c r="NZG17" s="97"/>
      <c r="NZH17" s="97"/>
      <c r="NZI17" s="3"/>
      <c r="NZP17" s="97"/>
      <c r="NZQ17" s="97"/>
      <c r="NZR17" s="3"/>
      <c r="NZY17" s="97"/>
      <c r="NZZ17" s="97"/>
      <c r="OAA17" s="3"/>
      <c r="OAH17" s="97"/>
      <c r="OAI17" s="97"/>
      <c r="OAJ17" s="3"/>
      <c r="OAQ17" s="97"/>
      <c r="OAR17" s="97"/>
      <c r="OAS17" s="3"/>
      <c r="OAZ17" s="97"/>
      <c r="OBA17" s="97"/>
      <c r="OBB17" s="3"/>
      <c r="OBI17" s="97"/>
      <c r="OBJ17" s="97"/>
      <c r="OBK17" s="3"/>
      <c r="OBR17" s="97"/>
      <c r="OBS17" s="97"/>
      <c r="OBT17" s="3"/>
      <c r="OCA17" s="97"/>
      <c r="OCB17" s="97"/>
      <c r="OCC17" s="3"/>
      <c r="OCJ17" s="97"/>
      <c r="OCK17" s="97"/>
      <c r="OCL17" s="3"/>
      <c r="OCS17" s="97"/>
      <c r="OCT17" s="97"/>
      <c r="OCU17" s="3"/>
      <c r="ODB17" s="97"/>
      <c r="ODC17" s="97"/>
      <c r="ODD17" s="3"/>
      <c r="ODK17" s="97"/>
      <c r="ODL17" s="97"/>
      <c r="ODM17" s="3"/>
      <c r="ODT17" s="97"/>
      <c r="ODU17" s="97"/>
      <c r="ODV17" s="3"/>
      <c r="OEC17" s="97"/>
      <c r="OED17" s="97"/>
      <c r="OEE17" s="3"/>
      <c r="OEL17" s="97"/>
      <c r="OEM17" s="97"/>
      <c r="OEN17" s="3"/>
      <c r="OEU17" s="97"/>
      <c r="OEV17" s="97"/>
      <c r="OEW17" s="3"/>
      <c r="OFD17" s="97"/>
      <c r="OFE17" s="97"/>
      <c r="OFF17" s="3"/>
      <c r="OFM17" s="97"/>
      <c r="OFN17" s="97"/>
      <c r="OFO17" s="3"/>
      <c r="OFV17" s="97"/>
      <c r="OFW17" s="97"/>
      <c r="OFX17" s="3"/>
      <c r="OGE17" s="97"/>
      <c r="OGF17" s="97"/>
      <c r="OGG17" s="3"/>
      <c r="OGN17" s="97"/>
      <c r="OGO17" s="97"/>
      <c r="OGP17" s="3"/>
      <c r="OGW17" s="97"/>
      <c r="OGX17" s="97"/>
      <c r="OGY17" s="3"/>
      <c r="OHF17" s="97"/>
      <c r="OHG17" s="97"/>
      <c r="OHH17" s="3"/>
      <c r="OHO17" s="97"/>
      <c r="OHP17" s="97"/>
      <c r="OHQ17" s="3"/>
      <c r="OHX17" s="97"/>
      <c r="OHY17" s="97"/>
      <c r="OHZ17" s="3"/>
      <c r="OIG17" s="97"/>
      <c r="OIH17" s="97"/>
      <c r="OII17" s="3"/>
      <c r="OIP17" s="97"/>
      <c r="OIQ17" s="97"/>
      <c r="OIR17" s="3"/>
      <c r="OIY17" s="97"/>
      <c r="OIZ17" s="97"/>
      <c r="OJA17" s="3"/>
      <c r="OJH17" s="97"/>
      <c r="OJI17" s="97"/>
      <c r="OJJ17" s="3"/>
      <c r="OJQ17" s="97"/>
      <c r="OJR17" s="97"/>
      <c r="OJS17" s="3"/>
      <c r="OJZ17" s="97"/>
      <c r="OKA17" s="97"/>
      <c r="OKB17" s="3"/>
      <c r="OKI17" s="97"/>
      <c r="OKJ17" s="97"/>
      <c r="OKK17" s="3"/>
      <c r="OKR17" s="97"/>
      <c r="OKS17" s="97"/>
      <c r="OKT17" s="3"/>
      <c r="OLA17" s="97"/>
      <c r="OLB17" s="97"/>
      <c r="OLC17" s="3"/>
      <c r="OLJ17" s="97"/>
      <c r="OLK17" s="97"/>
      <c r="OLL17" s="3"/>
      <c r="OLS17" s="97"/>
      <c r="OLT17" s="97"/>
      <c r="OLU17" s="3"/>
      <c r="OMB17" s="97"/>
      <c r="OMC17" s="97"/>
      <c r="OMD17" s="3"/>
      <c r="OMK17" s="97"/>
      <c r="OML17" s="97"/>
      <c r="OMM17" s="3"/>
      <c r="OMT17" s="97"/>
      <c r="OMU17" s="97"/>
      <c r="OMV17" s="3"/>
      <c r="ONC17" s="97"/>
      <c r="OND17" s="97"/>
      <c r="ONE17" s="3"/>
      <c r="ONL17" s="97"/>
      <c r="ONM17" s="97"/>
      <c r="ONN17" s="3"/>
      <c r="ONU17" s="97"/>
      <c r="ONV17" s="97"/>
      <c r="ONW17" s="3"/>
      <c r="OOD17" s="97"/>
      <c r="OOE17" s="97"/>
      <c r="OOF17" s="3"/>
      <c r="OOM17" s="97"/>
      <c r="OON17" s="97"/>
      <c r="OOO17" s="3"/>
      <c r="OOV17" s="97"/>
      <c r="OOW17" s="97"/>
      <c r="OOX17" s="3"/>
      <c r="OPE17" s="97"/>
      <c r="OPF17" s="97"/>
      <c r="OPG17" s="3"/>
      <c r="OPN17" s="97"/>
      <c r="OPO17" s="97"/>
      <c r="OPP17" s="3"/>
      <c r="OPW17" s="97"/>
      <c r="OPX17" s="97"/>
      <c r="OPY17" s="3"/>
      <c r="OQF17" s="97"/>
      <c r="OQG17" s="97"/>
      <c r="OQH17" s="3"/>
      <c r="OQO17" s="97"/>
      <c r="OQP17" s="97"/>
      <c r="OQQ17" s="3"/>
      <c r="OQX17" s="97"/>
      <c r="OQY17" s="97"/>
      <c r="OQZ17" s="3"/>
      <c r="ORG17" s="97"/>
      <c r="ORH17" s="97"/>
      <c r="ORI17" s="3"/>
      <c r="ORP17" s="97"/>
      <c r="ORQ17" s="97"/>
      <c r="ORR17" s="3"/>
      <c r="ORY17" s="97"/>
      <c r="ORZ17" s="97"/>
      <c r="OSA17" s="3"/>
      <c r="OSH17" s="97"/>
      <c r="OSI17" s="97"/>
      <c r="OSJ17" s="3"/>
      <c r="OSQ17" s="97"/>
      <c r="OSR17" s="97"/>
      <c r="OSS17" s="3"/>
      <c r="OSZ17" s="97"/>
      <c r="OTA17" s="97"/>
      <c r="OTB17" s="3"/>
      <c r="OTI17" s="97"/>
      <c r="OTJ17" s="97"/>
      <c r="OTK17" s="3"/>
      <c r="OTR17" s="97"/>
      <c r="OTS17" s="97"/>
      <c r="OTT17" s="3"/>
      <c r="OUA17" s="97"/>
      <c r="OUB17" s="97"/>
      <c r="OUC17" s="3"/>
      <c r="OUJ17" s="97"/>
      <c r="OUK17" s="97"/>
      <c r="OUL17" s="3"/>
      <c r="OUS17" s="97"/>
      <c r="OUT17" s="97"/>
      <c r="OUU17" s="3"/>
      <c r="OVB17" s="97"/>
      <c r="OVC17" s="97"/>
      <c r="OVD17" s="3"/>
      <c r="OVK17" s="97"/>
      <c r="OVL17" s="97"/>
      <c r="OVM17" s="3"/>
      <c r="OVT17" s="97"/>
      <c r="OVU17" s="97"/>
      <c r="OVV17" s="3"/>
      <c r="OWC17" s="97"/>
      <c r="OWD17" s="97"/>
      <c r="OWE17" s="3"/>
      <c r="OWL17" s="97"/>
      <c r="OWM17" s="97"/>
      <c r="OWN17" s="3"/>
      <c r="OWU17" s="97"/>
      <c r="OWV17" s="97"/>
      <c r="OWW17" s="3"/>
      <c r="OXD17" s="97"/>
      <c r="OXE17" s="97"/>
      <c r="OXF17" s="3"/>
      <c r="OXM17" s="97"/>
      <c r="OXN17" s="97"/>
      <c r="OXO17" s="3"/>
      <c r="OXV17" s="97"/>
      <c r="OXW17" s="97"/>
      <c r="OXX17" s="3"/>
      <c r="OYE17" s="97"/>
      <c r="OYF17" s="97"/>
      <c r="OYG17" s="3"/>
      <c r="OYN17" s="97"/>
      <c r="OYO17" s="97"/>
      <c r="OYP17" s="3"/>
      <c r="OYW17" s="97"/>
      <c r="OYX17" s="97"/>
      <c r="OYY17" s="3"/>
      <c r="OZF17" s="97"/>
      <c r="OZG17" s="97"/>
      <c r="OZH17" s="3"/>
      <c r="OZO17" s="97"/>
      <c r="OZP17" s="97"/>
      <c r="OZQ17" s="3"/>
      <c r="OZX17" s="97"/>
      <c r="OZY17" s="97"/>
      <c r="OZZ17" s="3"/>
      <c r="PAG17" s="97"/>
      <c r="PAH17" s="97"/>
      <c r="PAI17" s="3"/>
      <c r="PAP17" s="97"/>
      <c r="PAQ17" s="97"/>
      <c r="PAR17" s="3"/>
      <c r="PAY17" s="97"/>
      <c r="PAZ17" s="97"/>
      <c r="PBA17" s="3"/>
      <c r="PBH17" s="97"/>
      <c r="PBI17" s="97"/>
      <c r="PBJ17" s="3"/>
      <c r="PBQ17" s="97"/>
      <c r="PBR17" s="97"/>
      <c r="PBS17" s="3"/>
      <c r="PBZ17" s="97"/>
      <c r="PCA17" s="97"/>
      <c r="PCB17" s="3"/>
      <c r="PCI17" s="97"/>
      <c r="PCJ17" s="97"/>
      <c r="PCK17" s="3"/>
      <c r="PCR17" s="97"/>
      <c r="PCS17" s="97"/>
      <c r="PCT17" s="3"/>
      <c r="PDA17" s="97"/>
      <c r="PDB17" s="97"/>
      <c r="PDC17" s="3"/>
      <c r="PDJ17" s="97"/>
      <c r="PDK17" s="97"/>
      <c r="PDL17" s="3"/>
      <c r="PDS17" s="97"/>
      <c r="PDT17" s="97"/>
      <c r="PDU17" s="3"/>
      <c r="PEB17" s="97"/>
      <c r="PEC17" s="97"/>
      <c r="PED17" s="3"/>
      <c r="PEE17" s="24"/>
      <c r="PEF17" s="24"/>
      <c r="PEG17" s="24"/>
      <c r="PEH17" s="24"/>
      <c r="PEI17" s="24"/>
      <c r="PEJ17" s="24"/>
      <c r="PEK17" s="98"/>
      <c r="PEL17" s="98"/>
      <c r="PEM17" s="25"/>
      <c r="PEN17" s="24"/>
      <c r="PEO17" s="24"/>
      <c r="PEP17" s="24"/>
      <c r="PEQ17" s="24"/>
      <c r="PER17" s="24"/>
      <c r="PES17" s="24"/>
      <c r="PET17" s="98"/>
      <c r="PEU17" s="98"/>
      <c r="PEV17" s="25"/>
      <c r="PEW17" s="24"/>
      <c r="PEX17" s="24"/>
      <c r="PEY17" s="24"/>
      <c r="PEZ17" s="24"/>
      <c r="PFA17" s="24"/>
      <c r="PFB17" s="24"/>
      <c r="PFC17" s="98"/>
      <c r="PFD17" s="98"/>
      <c r="PFE17" s="25"/>
      <c r="PFF17" s="24"/>
      <c r="PFG17" s="24"/>
      <c r="PFH17" s="24"/>
      <c r="PFI17" s="24"/>
      <c r="PFJ17" s="24"/>
      <c r="PFK17" s="24"/>
      <c r="PFL17" s="98"/>
      <c r="PFM17" s="98"/>
      <c r="PFN17" s="25"/>
      <c r="PFO17" s="24"/>
      <c r="PFP17" s="24"/>
      <c r="PFQ17" s="24"/>
      <c r="PFR17" s="24"/>
      <c r="PFS17" s="24"/>
      <c r="PFT17" s="24"/>
      <c r="PFU17" s="98"/>
      <c r="PFV17" s="98"/>
      <c r="PFW17" s="25"/>
      <c r="PFX17" s="24"/>
      <c r="PFY17" s="24"/>
      <c r="PFZ17" s="24"/>
      <c r="PGA17" s="24"/>
      <c r="PGB17" s="24"/>
      <c r="PGC17" s="24"/>
      <c r="PGD17" s="98"/>
      <c r="PGE17" s="98"/>
      <c r="PGF17" s="25"/>
      <c r="PGG17" s="24"/>
      <c r="PGH17" s="24"/>
      <c r="PGI17" s="24"/>
      <c r="PGJ17" s="24"/>
      <c r="PGK17" s="24"/>
      <c r="PGL17" s="24"/>
      <c r="PGM17" s="98"/>
      <c r="PGN17" s="98"/>
      <c r="PGO17" s="25"/>
      <c r="PGP17" s="24"/>
      <c r="PGQ17" s="24"/>
      <c r="PGR17" s="24"/>
      <c r="PGS17" s="24"/>
      <c r="PGT17" s="24"/>
      <c r="PGU17" s="24"/>
      <c r="PGV17" s="98"/>
      <c r="PGW17" s="98"/>
      <c r="PGX17" s="25"/>
      <c r="PGY17" s="24"/>
      <c r="PGZ17" s="24"/>
      <c r="PHA17" s="24"/>
      <c r="PHB17" s="24"/>
      <c r="PHC17" s="24"/>
      <c r="PHD17" s="24"/>
      <c r="PHE17" s="98"/>
      <c r="PHF17" s="98"/>
      <c r="PHG17" s="25"/>
      <c r="PHH17" s="24"/>
      <c r="PHI17" s="24"/>
      <c r="PHJ17" s="24"/>
      <c r="PHK17" s="24"/>
      <c r="PHL17" s="24"/>
      <c r="PHM17" s="24"/>
      <c r="PHN17" s="98"/>
      <c r="PHO17" s="98"/>
      <c r="PHP17" s="25"/>
      <c r="PHQ17" s="24"/>
      <c r="PHR17" s="24"/>
      <c r="PHS17" s="24"/>
      <c r="PHT17" s="24"/>
      <c r="PHU17" s="24"/>
      <c r="PHV17" s="24"/>
      <c r="PHW17" s="98"/>
      <c r="PHX17" s="98"/>
      <c r="PHY17" s="3"/>
      <c r="PIF17" s="97"/>
      <c r="PIG17" s="97"/>
      <c r="PIH17" s="3"/>
      <c r="PIO17" s="97"/>
      <c r="PIP17" s="97"/>
      <c r="PIQ17" s="3"/>
      <c r="PIX17" s="97"/>
      <c r="PIY17" s="97"/>
      <c r="PIZ17" s="3"/>
      <c r="PJG17" s="97"/>
      <c r="PJH17" s="97"/>
      <c r="PJI17" s="3"/>
      <c r="PJP17" s="97"/>
      <c r="PJQ17" s="97"/>
      <c r="PJR17" s="3"/>
      <c r="PJY17" s="97"/>
      <c r="PJZ17" s="97"/>
      <c r="PKA17" s="3"/>
      <c r="PKH17" s="97"/>
      <c r="PKI17" s="97"/>
      <c r="PKJ17" s="3"/>
      <c r="PKQ17" s="97"/>
      <c r="PKR17" s="97"/>
      <c r="PKS17" s="3"/>
      <c r="PKZ17" s="97"/>
      <c r="PLA17" s="97"/>
      <c r="PLB17" s="3"/>
      <c r="PLI17" s="97"/>
      <c r="PLJ17" s="97"/>
      <c r="PLK17" s="3"/>
      <c r="PLR17" s="97"/>
      <c r="PLS17" s="97"/>
      <c r="PLT17" s="3"/>
      <c r="PMA17" s="97"/>
      <c r="PMB17" s="97"/>
      <c r="PMC17" s="3"/>
      <c r="PMJ17" s="97"/>
      <c r="PMK17" s="97"/>
      <c r="PML17" s="3"/>
      <c r="PMS17" s="97"/>
      <c r="PMT17" s="97"/>
      <c r="PMU17" s="3"/>
      <c r="PNB17" s="97"/>
      <c r="PNC17" s="97"/>
      <c r="PND17" s="3"/>
      <c r="PNK17" s="97"/>
      <c r="PNL17" s="97"/>
      <c r="PNM17" s="3"/>
      <c r="PNT17" s="97"/>
      <c r="PNU17" s="97"/>
      <c r="PNV17" s="3"/>
      <c r="POC17" s="97"/>
      <c r="POD17" s="97"/>
      <c r="POE17" s="3"/>
      <c r="POL17" s="97"/>
      <c r="POM17" s="97"/>
      <c r="PON17" s="3"/>
      <c r="POU17" s="97"/>
      <c r="POV17" s="97"/>
      <c r="POW17" s="3"/>
      <c r="PPD17" s="97"/>
      <c r="PPE17" s="97"/>
      <c r="PPF17" s="3"/>
      <c r="PPM17" s="97"/>
      <c r="PPN17" s="97"/>
      <c r="PPO17" s="3"/>
      <c r="PPV17" s="97"/>
      <c r="PPW17" s="97"/>
      <c r="PPX17" s="3"/>
      <c r="PQE17" s="97"/>
      <c r="PQF17" s="97"/>
      <c r="PQG17" s="3"/>
      <c r="PQN17" s="97"/>
      <c r="PQO17" s="97"/>
      <c r="PQP17" s="3"/>
      <c r="PQW17" s="97"/>
      <c r="PQX17" s="97"/>
      <c r="PQY17" s="3"/>
      <c r="PRF17" s="97"/>
      <c r="PRG17" s="97"/>
      <c r="PRH17" s="3"/>
      <c r="PRO17" s="97"/>
      <c r="PRP17" s="97"/>
      <c r="PRQ17" s="3"/>
      <c r="PRX17" s="97"/>
      <c r="PRY17" s="97"/>
      <c r="PRZ17" s="3"/>
      <c r="PSG17" s="97"/>
      <c r="PSH17" s="97"/>
      <c r="PSI17" s="3"/>
      <c r="PSP17" s="97"/>
      <c r="PSQ17" s="97"/>
      <c r="PSR17" s="3"/>
      <c r="PSY17" s="97"/>
      <c r="PSZ17" s="97"/>
      <c r="PTA17" s="3"/>
      <c r="PTH17" s="97"/>
      <c r="PTI17" s="97"/>
      <c r="PTJ17" s="3"/>
      <c r="PTQ17" s="97"/>
      <c r="PTR17" s="97"/>
      <c r="PTS17" s="3"/>
      <c r="PTZ17" s="97"/>
      <c r="PUA17" s="97"/>
      <c r="PUB17" s="3"/>
      <c r="PUI17" s="97"/>
      <c r="PUJ17" s="97"/>
      <c r="PUK17" s="3"/>
      <c r="PUR17" s="97"/>
      <c r="PUS17" s="97"/>
      <c r="PUT17" s="3"/>
      <c r="PVA17" s="97"/>
      <c r="PVB17" s="97"/>
      <c r="PVC17" s="3"/>
      <c r="PVJ17" s="97"/>
      <c r="PVK17" s="97"/>
      <c r="PVL17" s="3"/>
      <c r="PVS17" s="97"/>
      <c r="PVT17" s="97"/>
      <c r="PVU17" s="3"/>
      <c r="PWB17" s="97"/>
      <c r="PWC17" s="97"/>
      <c r="PWD17" s="3"/>
      <c r="PWK17" s="97"/>
      <c r="PWL17" s="97"/>
      <c r="PWM17" s="3"/>
      <c r="PWT17" s="97"/>
      <c r="PWU17" s="97"/>
      <c r="PWV17" s="3"/>
      <c r="PXC17" s="97"/>
      <c r="PXD17" s="97"/>
      <c r="PXE17" s="3"/>
      <c r="PXL17" s="97"/>
      <c r="PXM17" s="97"/>
      <c r="PXN17" s="3"/>
      <c r="PXU17" s="97"/>
      <c r="PXV17" s="97"/>
      <c r="PXW17" s="3"/>
      <c r="PYD17" s="97"/>
      <c r="PYE17" s="97"/>
      <c r="PYF17" s="3"/>
      <c r="PYM17" s="97"/>
      <c r="PYN17" s="97"/>
      <c r="PYO17" s="3"/>
      <c r="PYV17" s="97"/>
      <c r="PYW17" s="97"/>
      <c r="PYX17" s="3"/>
      <c r="PZE17" s="97"/>
      <c r="PZF17" s="97"/>
      <c r="PZG17" s="3"/>
      <c r="PZN17" s="97"/>
      <c r="PZO17" s="97"/>
      <c r="PZP17" s="3"/>
      <c r="PZW17" s="97"/>
      <c r="PZX17" s="97"/>
      <c r="PZY17" s="3"/>
      <c r="QAF17" s="97"/>
      <c r="QAG17" s="97"/>
      <c r="QAH17" s="3"/>
      <c r="QAO17" s="97"/>
      <c r="QAP17" s="97"/>
      <c r="QAQ17" s="3"/>
      <c r="QAX17" s="97"/>
      <c r="QAY17" s="97"/>
      <c r="QAZ17" s="3"/>
      <c r="QBG17" s="97"/>
      <c r="QBH17" s="97"/>
      <c r="QBI17" s="3"/>
      <c r="QBP17" s="97"/>
      <c r="QBQ17" s="97"/>
      <c r="QBR17" s="3"/>
      <c r="QBY17" s="97"/>
      <c r="QBZ17" s="97"/>
      <c r="QCA17" s="3"/>
      <c r="QCH17" s="97"/>
      <c r="QCI17" s="97"/>
      <c r="QCJ17" s="3"/>
      <c r="QCQ17" s="97"/>
      <c r="QCR17" s="97"/>
      <c r="QCS17" s="3"/>
      <c r="QCZ17" s="97"/>
      <c r="QDA17" s="97"/>
      <c r="QDB17" s="3"/>
      <c r="QDI17" s="97"/>
      <c r="QDJ17" s="97"/>
      <c r="QDK17" s="3"/>
      <c r="QDR17" s="97"/>
      <c r="QDS17" s="97"/>
      <c r="QDT17" s="3"/>
      <c r="QEA17" s="97"/>
      <c r="QEB17" s="97"/>
      <c r="QEC17" s="3"/>
      <c r="QEJ17" s="97"/>
      <c r="QEK17" s="97"/>
      <c r="QEL17" s="3"/>
      <c r="QES17" s="97"/>
      <c r="QET17" s="97"/>
      <c r="QEU17" s="3"/>
      <c r="QFB17" s="97"/>
      <c r="QFC17" s="97"/>
      <c r="QFD17" s="3"/>
      <c r="QFK17" s="97"/>
      <c r="QFL17" s="97"/>
      <c r="QFM17" s="3"/>
      <c r="QFT17" s="97"/>
      <c r="QFU17" s="97"/>
      <c r="QFV17" s="3"/>
      <c r="QGC17" s="97"/>
      <c r="QGD17" s="97"/>
      <c r="QGE17" s="3"/>
      <c r="QGL17" s="97"/>
      <c r="QGM17" s="97"/>
      <c r="QGN17" s="3"/>
      <c r="QGU17" s="97"/>
      <c r="QGV17" s="97"/>
      <c r="QGW17" s="3"/>
      <c r="QHD17" s="97"/>
      <c r="QHE17" s="97"/>
      <c r="QHF17" s="3"/>
      <c r="QHM17" s="97"/>
      <c r="QHN17" s="97"/>
      <c r="QHO17" s="3"/>
      <c r="QHV17" s="97"/>
      <c r="QHW17" s="97"/>
      <c r="QHX17" s="3"/>
      <c r="QIE17" s="97"/>
      <c r="QIF17" s="97"/>
      <c r="QIG17" s="3"/>
      <c r="QIN17" s="97"/>
      <c r="QIO17" s="97"/>
      <c r="QIP17" s="3"/>
      <c r="QIW17" s="97"/>
      <c r="QIX17" s="97"/>
      <c r="QIY17" s="3"/>
      <c r="QJF17" s="97"/>
      <c r="QJG17" s="97"/>
      <c r="QJH17" s="3"/>
      <c r="QJO17" s="97"/>
      <c r="QJP17" s="97"/>
      <c r="QJQ17" s="3"/>
      <c r="QJX17" s="97"/>
      <c r="QJY17" s="97"/>
      <c r="QJZ17" s="3"/>
      <c r="QKG17" s="97"/>
      <c r="QKH17" s="97"/>
      <c r="QKI17" s="3"/>
      <c r="QKP17" s="97"/>
      <c r="QKQ17" s="97"/>
      <c r="QKR17" s="3"/>
      <c r="QKY17" s="97"/>
      <c r="QKZ17" s="97"/>
      <c r="QLA17" s="3"/>
      <c r="QLH17" s="97"/>
      <c r="QLI17" s="97"/>
      <c r="QLJ17" s="3"/>
      <c r="QLQ17" s="97"/>
      <c r="QLR17" s="97"/>
      <c r="QLS17" s="3"/>
      <c r="QLZ17" s="97"/>
      <c r="QMA17" s="97"/>
      <c r="QMB17" s="3"/>
      <c r="QMI17" s="97"/>
      <c r="QMJ17" s="97"/>
      <c r="QMK17" s="3"/>
      <c r="QMR17" s="97"/>
      <c r="QMS17" s="97"/>
      <c r="QMT17" s="3"/>
      <c r="QNA17" s="97"/>
      <c r="QNB17" s="97"/>
      <c r="QNC17" s="3"/>
      <c r="QNJ17" s="97"/>
      <c r="QNK17" s="97"/>
      <c r="QNL17" s="3"/>
      <c r="QNS17" s="97"/>
      <c r="QNT17" s="97"/>
      <c r="QNU17" s="3"/>
      <c r="QOB17" s="97"/>
      <c r="QOC17" s="97"/>
      <c r="QOD17" s="3"/>
      <c r="QOK17" s="97"/>
      <c r="QOL17" s="97"/>
      <c r="QOM17" s="3"/>
      <c r="QOT17" s="97"/>
      <c r="QOU17" s="97"/>
      <c r="QOV17" s="3"/>
      <c r="QPC17" s="97"/>
      <c r="QPD17" s="97"/>
      <c r="QPE17" s="3"/>
      <c r="QPL17" s="97"/>
      <c r="QPM17" s="97"/>
      <c r="QPN17" s="3"/>
      <c r="QPU17" s="97"/>
      <c r="QPV17" s="97"/>
      <c r="QPW17" s="3"/>
      <c r="QQD17" s="97"/>
      <c r="QQE17" s="97"/>
      <c r="QQF17" s="3"/>
      <c r="QQM17" s="97"/>
      <c r="QQN17" s="97"/>
      <c r="QQO17" s="3"/>
      <c r="QQV17" s="97"/>
      <c r="QQW17" s="97"/>
      <c r="QQX17" s="3"/>
      <c r="QRE17" s="97"/>
      <c r="QRF17" s="97"/>
      <c r="QRG17" s="3"/>
      <c r="QRN17" s="97"/>
      <c r="QRO17" s="97"/>
      <c r="QRP17" s="3"/>
      <c r="QRW17" s="97"/>
      <c r="QRX17" s="97"/>
      <c r="QRY17" s="3"/>
      <c r="QSF17" s="97"/>
      <c r="QSG17" s="97"/>
      <c r="QSH17" s="3"/>
      <c r="QSO17" s="97"/>
      <c r="QSP17" s="97"/>
      <c r="QSQ17" s="3"/>
      <c r="QSX17" s="97"/>
      <c r="QSY17" s="97"/>
      <c r="QSZ17" s="3"/>
      <c r="QTG17" s="97"/>
      <c r="QTH17" s="97"/>
      <c r="QTI17" s="3"/>
      <c r="QTP17" s="97"/>
      <c r="QTQ17" s="97"/>
      <c r="QTR17" s="3"/>
      <c r="QTY17" s="97"/>
      <c r="QTZ17" s="97"/>
      <c r="QUA17" s="3"/>
      <c r="QUH17" s="97"/>
      <c r="QUI17" s="97"/>
      <c r="QUJ17" s="3"/>
      <c r="QUQ17" s="97"/>
      <c r="QUR17" s="97"/>
      <c r="QUS17" s="3"/>
      <c r="QUZ17" s="97"/>
      <c r="QVA17" s="97"/>
      <c r="QVB17" s="3"/>
      <c r="QVI17" s="97"/>
      <c r="QVJ17" s="97"/>
      <c r="QVK17" s="3"/>
      <c r="QVR17" s="97"/>
      <c r="QVS17" s="97"/>
      <c r="QVT17" s="3"/>
      <c r="QWA17" s="97"/>
      <c r="QWB17" s="97"/>
      <c r="QWC17" s="3"/>
      <c r="QWJ17" s="97"/>
      <c r="QWK17" s="97"/>
      <c r="QWL17" s="3"/>
      <c r="QWS17" s="97"/>
      <c r="QWT17" s="97"/>
      <c r="QWU17" s="3"/>
      <c r="QXB17" s="97"/>
      <c r="QXC17" s="97"/>
      <c r="QXD17" s="3"/>
      <c r="QXK17" s="97"/>
      <c r="QXL17" s="97"/>
      <c r="QXM17" s="3"/>
      <c r="QXT17" s="97"/>
      <c r="QXU17" s="97"/>
      <c r="QXV17" s="3"/>
      <c r="QYC17" s="97"/>
      <c r="QYD17" s="97"/>
      <c r="QYE17" s="3"/>
      <c r="QYL17" s="97"/>
      <c r="QYM17" s="97"/>
      <c r="QYN17" s="3"/>
      <c r="QYU17" s="97"/>
      <c r="QYV17" s="97"/>
      <c r="QYW17" s="3"/>
      <c r="QZD17" s="97"/>
      <c r="QZE17" s="97"/>
      <c r="QZF17" s="3"/>
      <c r="QZM17" s="97"/>
      <c r="QZN17" s="97"/>
      <c r="QZO17" s="3"/>
      <c r="QZV17" s="97"/>
      <c r="QZW17" s="97"/>
      <c r="QZX17" s="3"/>
      <c r="RAE17" s="97"/>
      <c r="RAF17" s="97"/>
      <c r="RAG17" s="3"/>
      <c r="RAN17" s="97"/>
      <c r="RAO17" s="97"/>
      <c r="RAP17" s="3"/>
      <c r="RAW17" s="97"/>
      <c r="RAX17" s="97"/>
      <c r="RAY17" s="3"/>
      <c r="RBF17" s="97"/>
      <c r="RBG17" s="97"/>
      <c r="RBH17" s="3"/>
      <c r="RBO17" s="97"/>
      <c r="RBP17" s="97"/>
      <c r="RBQ17" s="3"/>
      <c r="RBX17" s="97"/>
      <c r="RBY17" s="97"/>
      <c r="RBZ17" s="3"/>
      <c r="RCG17" s="97"/>
      <c r="RCH17" s="97"/>
      <c r="RCI17" s="3"/>
      <c r="RCP17" s="97"/>
      <c r="RCQ17" s="97"/>
      <c r="RCR17" s="3"/>
      <c r="RCY17" s="97"/>
      <c r="RCZ17" s="97"/>
      <c r="RDA17" s="3"/>
      <c r="RDH17" s="97"/>
      <c r="RDI17" s="97"/>
      <c r="RDJ17" s="3"/>
      <c r="RDQ17" s="97"/>
      <c r="RDR17" s="97"/>
      <c r="RDS17" s="3"/>
      <c r="RDZ17" s="97"/>
      <c r="REA17" s="97"/>
      <c r="REB17" s="3"/>
      <c r="REI17" s="97"/>
      <c r="REJ17" s="97"/>
      <c r="REK17" s="3"/>
      <c r="RER17" s="97"/>
      <c r="RES17" s="97"/>
      <c r="RET17" s="3"/>
      <c r="RFA17" s="97"/>
      <c r="RFB17" s="97"/>
      <c r="RFC17" s="3"/>
      <c r="RFJ17" s="97"/>
      <c r="RFK17" s="97"/>
      <c r="RFL17" s="3"/>
      <c r="RFS17" s="97"/>
      <c r="RFT17" s="97"/>
      <c r="RFU17" s="3"/>
      <c r="RGB17" s="97"/>
      <c r="RGC17" s="97"/>
      <c r="RGD17" s="3"/>
      <c r="RGK17" s="97"/>
      <c r="RGL17" s="97"/>
      <c r="RGM17" s="3"/>
      <c r="RGT17" s="97"/>
      <c r="RGU17" s="97"/>
      <c r="RGV17" s="3"/>
      <c r="RHC17" s="97"/>
      <c r="RHD17" s="97"/>
      <c r="RHE17" s="3"/>
      <c r="RHL17" s="97"/>
      <c r="RHM17" s="97"/>
      <c r="RHN17" s="3"/>
      <c r="RHU17" s="97"/>
      <c r="RHV17" s="97"/>
      <c r="RHW17" s="3"/>
      <c r="RID17" s="97"/>
      <c r="RIE17" s="97"/>
      <c r="RIF17" s="3"/>
      <c r="RIM17" s="97"/>
      <c r="RIN17" s="97"/>
      <c r="RIO17" s="3"/>
      <c r="RIV17" s="97"/>
      <c r="RIW17" s="97"/>
      <c r="RIX17" s="3"/>
      <c r="RJE17" s="97"/>
      <c r="RJF17" s="97"/>
      <c r="RJG17" s="3"/>
      <c r="RJN17" s="97"/>
      <c r="RJO17" s="97"/>
      <c r="RJP17" s="3"/>
      <c r="RJW17" s="97"/>
      <c r="RJX17" s="97"/>
      <c r="RJY17" s="3"/>
      <c r="RKF17" s="97"/>
      <c r="RKG17" s="97"/>
      <c r="RKH17" s="3"/>
      <c r="RKO17" s="97"/>
      <c r="RKP17" s="97"/>
      <c r="RKQ17" s="3"/>
      <c r="RKX17" s="97"/>
      <c r="RKY17" s="97"/>
      <c r="RKZ17" s="3"/>
      <c r="RLG17" s="97"/>
      <c r="RLH17" s="97"/>
      <c r="RLI17" s="3"/>
      <c r="RLP17" s="97"/>
      <c r="RLQ17" s="97"/>
      <c r="RLR17" s="3"/>
      <c r="RLY17" s="97"/>
      <c r="RLZ17" s="97"/>
      <c r="RMA17" s="3"/>
      <c r="RMH17" s="97"/>
      <c r="RMI17" s="97"/>
      <c r="RMJ17" s="3"/>
      <c r="RMQ17" s="97"/>
      <c r="RMR17" s="97"/>
      <c r="RMS17" s="3"/>
      <c r="RMZ17" s="97"/>
      <c r="RNA17" s="97"/>
      <c r="RNB17" s="3"/>
      <c r="RNI17" s="97"/>
      <c r="RNJ17" s="97"/>
      <c r="RNK17" s="3"/>
      <c r="RNR17" s="97"/>
      <c r="RNS17" s="97"/>
      <c r="RNT17" s="3"/>
      <c r="ROA17" s="97"/>
      <c r="ROB17" s="97"/>
      <c r="ROC17" s="3"/>
      <c r="ROJ17" s="97"/>
      <c r="ROK17" s="97"/>
      <c r="ROL17" s="3"/>
      <c r="ROS17" s="97"/>
      <c r="ROT17" s="97"/>
      <c r="ROU17" s="3"/>
      <c r="RPB17" s="97"/>
      <c r="RPC17" s="97"/>
      <c r="RPD17" s="3"/>
      <c r="RPK17" s="97"/>
      <c r="RPL17" s="97"/>
      <c r="RPM17" s="3"/>
      <c r="RPT17" s="97"/>
      <c r="RPU17" s="97"/>
      <c r="RPV17" s="3"/>
      <c r="RQC17" s="97"/>
      <c r="RQD17" s="97"/>
      <c r="RQE17" s="3"/>
      <c r="RQL17" s="97"/>
      <c r="RQM17" s="97"/>
      <c r="RQN17" s="3"/>
      <c r="RQU17" s="97"/>
      <c r="RQV17" s="97"/>
      <c r="RQW17" s="3"/>
      <c r="RRD17" s="97"/>
      <c r="RRE17" s="97"/>
      <c r="RRF17" s="3"/>
      <c r="RRM17" s="97"/>
      <c r="RRN17" s="97"/>
      <c r="RRO17" s="3"/>
      <c r="RRV17" s="97"/>
      <c r="RRW17" s="97"/>
      <c r="RRX17" s="3"/>
      <c r="RSE17" s="97"/>
      <c r="RSF17" s="97"/>
      <c r="RSG17" s="3"/>
      <c r="RSN17" s="97"/>
      <c r="RSO17" s="97"/>
      <c r="RSP17" s="3"/>
      <c r="RSW17" s="97"/>
      <c r="RSX17" s="97"/>
      <c r="RSY17" s="3"/>
      <c r="RTF17" s="97"/>
      <c r="RTG17" s="97"/>
      <c r="RTH17" s="3"/>
      <c r="RTO17" s="97"/>
      <c r="RTP17" s="97"/>
      <c r="RTQ17" s="3"/>
      <c r="RTX17" s="97"/>
      <c r="RTY17" s="97"/>
      <c r="RTZ17" s="3"/>
      <c r="RUG17" s="97"/>
      <c r="RUH17" s="97"/>
      <c r="RUI17" s="3"/>
      <c r="RUP17" s="97"/>
      <c r="RUQ17" s="97"/>
      <c r="RUR17" s="3"/>
      <c r="RUY17" s="97"/>
      <c r="RUZ17" s="97"/>
      <c r="RVA17" s="3"/>
      <c r="RVH17" s="97"/>
      <c r="RVI17" s="97"/>
      <c r="RVJ17" s="3"/>
      <c r="RVQ17" s="97"/>
      <c r="RVR17" s="97"/>
      <c r="RVS17" s="3"/>
      <c r="RVZ17" s="97"/>
      <c r="RWA17" s="97"/>
      <c r="RWB17" s="3"/>
      <c r="RWI17" s="97"/>
      <c r="RWJ17" s="97"/>
      <c r="RWK17" s="3"/>
      <c r="RWR17" s="97"/>
      <c r="RWS17" s="97"/>
      <c r="RWT17" s="3"/>
      <c r="RXA17" s="97"/>
      <c r="RXB17" s="97"/>
      <c r="RXC17" s="3"/>
      <c r="RXJ17" s="97"/>
      <c r="RXK17" s="97"/>
      <c r="RXL17" s="3"/>
      <c r="RXS17" s="97"/>
      <c r="RXT17" s="97"/>
      <c r="RXU17" s="3"/>
      <c r="RYB17" s="97"/>
      <c r="RYC17" s="97"/>
      <c r="RYD17" s="3"/>
      <c r="RYK17" s="97"/>
      <c r="RYL17" s="97"/>
      <c r="RYM17" s="3"/>
      <c r="RYT17" s="97"/>
      <c r="RYU17" s="97"/>
      <c r="RYV17" s="3"/>
      <c r="RZC17" s="97"/>
      <c r="RZD17" s="97"/>
      <c r="RZE17" s="3"/>
      <c r="RZL17" s="97"/>
      <c r="RZM17" s="97"/>
      <c r="RZN17" s="3"/>
      <c r="RZU17" s="97"/>
      <c r="RZV17" s="97"/>
      <c r="RZW17" s="3"/>
      <c r="SAD17" s="97"/>
      <c r="SAE17" s="97"/>
      <c r="SAF17" s="3"/>
      <c r="SAM17" s="97"/>
      <c r="SAN17" s="97"/>
      <c r="SAO17" s="3"/>
      <c r="SAV17" s="97"/>
      <c r="SAW17" s="97"/>
      <c r="SAX17" s="3"/>
      <c r="SBE17" s="97"/>
      <c r="SBF17" s="97"/>
      <c r="SBG17" s="3"/>
      <c r="SBN17" s="97"/>
      <c r="SBO17" s="97"/>
      <c r="SBP17" s="3"/>
      <c r="SBW17" s="97"/>
      <c r="SBX17" s="97"/>
      <c r="SBY17" s="3"/>
      <c r="SCF17" s="97"/>
      <c r="SCG17" s="97"/>
      <c r="SCH17" s="3"/>
      <c r="SCO17" s="97"/>
      <c r="SCP17" s="97"/>
      <c r="SCQ17" s="3"/>
      <c r="SCX17" s="97"/>
      <c r="SCY17" s="97"/>
      <c r="SCZ17" s="3"/>
      <c r="SDG17" s="97"/>
      <c r="SDH17" s="97"/>
      <c r="SDI17" s="3"/>
      <c r="SDP17" s="97"/>
      <c r="SDQ17" s="97"/>
      <c r="SDR17" s="3"/>
      <c r="SDY17" s="97"/>
      <c r="SDZ17" s="97"/>
      <c r="SEA17" s="3"/>
      <c r="SEH17" s="97"/>
      <c r="SEI17" s="97"/>
      <c r="SEJ17" s="3"/>
      <c r="SEQ17" s="97"/>
      <c r="SER17" s="97"/>
      <c r="SES17" s="3"/>
      <c r="SEZ17" s="97"/>
      <c r="SFA17" s="97"/>
      <c r="SFB17" s="3"/>
      <c r="SFI17" s="97"/>
      <c r="SFJ17" s="97"/>
      <c r="SFK17" s="3"/>
      <c r="SFR17" s="97"/>
      <c r="SFS17" s="97"/>
      <c r="SFT17" s="3"/>
      <c r="SGA17" s="97"/>
      <c r="SGB17" s="97"/>
      <c r="SGC17" s="3"/>
      <c r="SGJ17" s="97"/>
      <c r="SGK17" s="97"/>
      <c r="SGL17" s="3"/>
      <c r="SGS17" s="97"/>
      <c r="SGT17" s="97"/>
      <c r="SGU17" s="3"/>
      <c r="SHB17" s="97"/>
      <c r="SHC17" s="97"/>
      <c r="SHD17" s="3"/>
      <c r="SHK17" s="97"/>
      <c r="SHL17" s="97"/>
      <c r="SHM17" s="3"/>
      <c r="SHT17" s="97"/>
      <c r="SHU17" s="97"/>
      <c r="SHV17" s="3"/>
      <c r="SIC17" s="97"/>
      <c r="SID17" s="97"/>
      <c r="SIE17" s="3"/>
      <c r="SIL17" s="97"/>
      <c r="SIM17" s="97"/>
      <c r="SIN17" s="3"/>
      <c r="SIU17" s="97"/>
      <c r="SIV17" s="97"/>
      <c r="SIW17" s="3"/>
      <c r="SJD17" s="97"/>
      <c r="SJE17" s="97"/>
      <c r="SJF17" s="3"/>
      <c r="SJM17" s="97"/>
      <c r="SJN17" s="97"/>
      <c r="SJO17" s="3"/>
      <c r="SJV17" s="97"/>
      <c r="SJW17" s="97"/>
      <c r="SJX17" s="3"/>
      <c r="SKE17" s="97"/>
      <c r="SKF17" s="97"/>
      <c r="SKG17" s="3"/>
      <c r="SKN17" s="97"/>
      <c r="SKO17" s="97"/>
      <c r="SKP17" s="3"/>
      <c r="SKW17" s="97"/>
      <c r="SKX17" s="97"/>
      <c r="SKY17" s="3"/>
      <c r="SLF17" s="97"/>
      <c r="SLG17" s="97"/>
      <c r="SLH17" s="3"/>
      <c r="SLO17" s="97"/>
      <c r="SLP17" s="97"/>
      <c r="SLQ17" s="3"/>
      <c r="SLX17" s="97"/>
      <c r="SLY17" s="97"/>
      <c r="SLZ17" s="3"/>
      <c r="SMG17" s="97"/>
      <c r="SMH17" s="97"/>
      <c r="SMI17" s="3"/>
      <c r="SMP17" s="97"/>
      <c r="SMQ17" s="97"/>
      <c r="SMR17" s="3"/>
      <c r="SMY17" s="97"/>
      <c r="SMZ17" s="97"/>
      <c r="SNA17" s="3"/>
      <c r="SNH17" s="97"/>
      <c r="SNI17" s="97"/>
      <c r="SNJ17" s="3"/>
      <c r="SNQ17" s="97"/>
      <c r="SNR17" s="97"/>
      <c r="SNS17" s="3"/>
      <c r="SNZ17" s="97"/>
      <c r="SOA17" s="97"/>
      <c r="SOB17" s="3"/>
      <c r="SOI17" s="97"/>
      <c r="SOJ17" s="97"/>
      <c r="SOK17" s="3"/>
      <c r="SOR17" s="97"/>
      <c r="SOS17" s="97"/>
      <c r="SOT17" s="3"/>
      <c r="SPA17" s="97"/>
      <c r="SPB17" s="97"/>
      <c r="SPC17" s="3"/>
      <c r="SPJ17" s="97"/>
      <c r="SPK17" s="97"/>
      <c r="SPL17" s="3"/>
      <c r="SPS17" s="97"/>
      <c r="SPT17" s="97"/>
      <c r="SPU17" s="3"/>
      <c r="SQB17" s="97"/>
      <c r="SQC17" s="97"/>
      <c r="SQD17" s="3"/>
      <c r="SQK17" s="97"/>
      <c r="SQL17" s="97"/>
      <c r="SQM17" s="3"/>
      <c r="SQT17" s="97"/>
      <c r="SQU17" s="97"/>
      <c r="SQV17" s="3"/>
      <c r="SRC17" s="97"/>
      <c r="SRD17" s="97"/>
      <c r="SRE17" s="3"/>
      <c r="SRL17" s="97"/>
      <c r="SRM17" s="97"/>
      <c r="SRN17" s="3"/>
      <c r="SRU17" s="97"/>
      <c r="SRV17" s="97"/>
      <c r="SRW17" s="3"/>
      <c r="SSD17" s="97"/>
      <c r="SSE17" s="97"/>
      <c r="SSF17" s="3"/>
      <c r="SSM17" s="97"/>
      <c r="SSN17" s="97"/>
      <c r="SSO17" s="3"/>
      <c r="SSV17" s="97"/>
      <c r="SSW17" s="97"/>
      <c r="SSX17" s="3"/>
      <c r="STE17" s="97"/>
      <c r="STF17" s="97"/>
      <c r="STG17" s="3"/>
      <c r="STN17" s="97"/>
      <c r="STO17" s="97"/>
      <c r="STP17" s="3"/>
      <c r="STW17" s="97"/>
      <c r="STX17" s="97"/>
      <c r="STY17" s="3"/>
      <c r="SUF17" s="97"/>
      <c r="SUG17" s="97"/>
      <c r="SUH17" s="3"/>
      <c r="SUO17" s="97"/>
      <c r="SUP17" s="97"/>
      <c r="SUQ17" s="3"/>
      <c r="SUX17" s="97"/>
      <c r="SUY17" s="97"/>
      <c r="SUZ17" s="3"/>
      <c r="SVG17" s="97"/>
      <c r="SVH17" s="97"/>
      <c r="SVI17" s="3"/>
      <c r="SVP17" s="97"/>
      <c r="SVQ17" s="97"/>
      <c r="SVR17" s="3"/>
      <c r="SVY17" s="97"/>
      <c r="SVZ17" s="97"/>
      <c r="SWA17" s="3"/>
      <c r="SWH17" s="97"/>
      <c r="SWI17" s="97"/>
      <c r="SWJ17" s="3"/>
      <c r="SWQ17" s="97"/>
      <c r="SWR17" s="97"/>
      <c r="SWS17" s="3"/>
      <c r="SWZ17" s="97"/>
      <c r="SXA17" s="97"/>
      <c r="SXB17" s="3"/>
      <c r="SXI17" s="97"/>
      <c r="SXJ17" s="97"/>
      <c r="SXK17" s="3"/>
      <c r="SXR17" s="97"/>
      <c r="SXS17" s="97"/>
      <c r="SXT17" s="3"/>
      <c r="SYA17" s="97"/>
      <c r="SYB17" s="97"/>
      <c r="SYC17" s="3"/>
      <c r="SYJ17" s="97"/>
      <c r="SYK17" s="97"/>
      <c r="SYL17" s="3"/>
      <c r="SYS17" s="97"/>
      <c r="SYT17" s="97"/>
      <c r="SYU17" s="3"/>
      <c r="SZB17" s="97"/>
      <c r="SZC17" s="97"/>
      <c r="SZD17" s="3"/>
      <c r="SZK17" s="97"/>
      <c r="SZL17" s="97"/>
      <c r="SZM17" s="3"/>
      <c r="SZT17" s="97"/>
      <c r="SZU17" s="97"/>
      <c r="SZV17" s="3"/>
      <c r="TAC17" s="97"/>
      <c r="TAD17" s="97"/>
      <c r="TAE17" s="3"/>
      <c r="TAL17" s="97"/>
      <c r="TAM17" s="97"/>
      <c r="TAN17" s="3"/>
      <c r="TAU17" s="97"/>
      <c r="TAV17" s="97"/>
      <c r="TAW17" s="3"/>
      <c r="TBD17" s="97"/>
      <c r="TBE17" s="97"/>
      <c r="TBF17" s="3"/>
      <c r="TBM17" s="97"/>
      <c r="TBN17" s="97"/>
      <c r="TBO17" s="3"/>
      <c r="TBV17" s="97"/>
      <c r="TBW17" s="97"/>
      <c r="TBX17" s="3"/>
      <c r="TCE17" s="97"/>
      <c r="TCF17" s="97"/>
      <c r="TCG17" s="3"/>
      <c r="TCN17" s="97"/>
      <c r="TCO17" s="97"/>
      <c r="TCP17" s="3"/>
      <c r="TCW17" s="97"/>
      <c r="TCX17" s="97"/>
      <c r="TCY17" s="3"/>
      <c r="TDF17" s="97"/>
      <c r="TDG17" s="97"/>
      <c r="TDH17" s="3"/>
      <c r="TDO17" s="97"/>
      <c r="TDP17" s="97"/>
      <c r="TDQ17" s="3"/>
      <c r="TDX17" s="97"/>
      <c r="TDY17" s="97"/>
      <c r="TDZ17" s="3"/>
      <c r="TEG17" s="97"/>
      <c r="TEH17" s="97"/>
      <c r="TEI17" s="3"/>
      <c r="TEP17" s="97"/>
      <c r="TEQ17" s="97"/>
      <c r="TER17" s="3"/>
      <c r="TEY17" s="97"/>
      <c r="TEZ17" s="97"/>
      <c r="TFA17" s="3"/>
      <c r="TFH17" s="97"/>
      <c r="TFI17" s="97"/>
      <c r="TFJ17" s="3"/>
      <c r="TFQ17" s="97"/>
      <c r="TFR17" s="97"/>
      <c r="TFS17" s="3"/>
      <c r="TFZ17" s="97"/>
      <c r="TGA17" s="97"/>
      <c r="TGB17" s="3"/>
      <c r="TGI17" s="97"/>
      <c r="TGJ17" s="97"/>
      <c r="TGK17" s="3"/>
      <c r="TGR17" s="97"/>
      <c r="TGS17" s="97"/>
      <c r="TGT17" s="3"/>
      <c r="THA17" s="97"/>
      <c r="THB17" s="97"/>
      <c r="THC17" s="3"/>
      <c r="THJ17" s="97"/>
      <c r="THK17" s="97"/>
      <c r="THL17" s="3"/>
      <c r="THS17" s="97"/>
      <c r="THT17" s="97"/>
      <c r="THU17" s="3"/>
      <c r="TIB17" s="97"/>
      <c r="TIC17" s="97"/>
      <c r="TID17" s="3"/>
      <c r="TIK17" s="97"/>
      <c r="TIL17" s="97"/>
      <c r="TIM17" s="3"/>
      <c r="TIT17" s="97"/>
      <c r="TIU17" s="97"/>
      <c r="TIV17" s="3"/>
      <c r="TJC17" s="97"/>
      <c r="TJD17" s="97"/>
      <c r="TJE17" s="3"/>
      <c r="TJL17" s="97"/>
      <c r="TJM17" s="97"/>
      <c r="TJN17" s="3"/>
      <c r="TJU17" s="97"/>
      <c r="TJV17" s="97"/>
      <c r="TJW17" s="3"/>
      <c r="TKD17" s="97"/>
      <c r="TKE17" s="97"/>
      <c r="TKF17" s="3"/>
      <c r="TKM17" s="97"/>
      <c r="TKN17" s="97"/>
      <c r="TKO17" s="3"/>
      <c r="TKV17" s="97"/>
      <c r="TKW17" s="97"/>
      <c r="TKX17" s="3"/>
      <c r="TLE17" s="97"/>
      <c r="TLF17" s="97"/>
      <c r="TLG17" s="3"/>
      <c r="TLN17" s="97"/>
      <c r="TLO17" s="97"/>
      <c r="TLP17" s="3"/>
      <c r="TLW17" s="97"/>
      <c r="TLX17" s="97"/>
      <c r="TLY17" s="3"/>
      <c r="TMF17" s="97"/>
      <c r="TMG17" s="97"/>
      <c r="TMH17" s="3"/>
      <c r="TMO17" s="97"/>
      <c r="TMP17" s="97"/>
      <c r="TMQ17" s="3"/>
      <c r="TMX17" s="97"/>
      <c r="TMY17" s="97"/>
      <c r="TMZ17" s="3"/>
      <c r="TNG17" s="97"/>
      <c r="TNH17" s="97"/>
      <c r="TNI17" s="3"/>
      <c r="TNP17" s="97"/>
      <c r="TNQ17" s="97"/>
      <c r="TNR17" s="3"/>
      <c r="TNY17" s="97"/>
      <c r="TNZ17" s="97"/>
      <c r="TOA17" s="3"/>
      <c r="TOH17" s="97"/>
      <c r="TOI17" s="97"/>
      <c r="TOJ17" s="3"/>
      <c r="TOQ17" s="97"/>
      <c r="TOR17" s="97"/>
      <c r="TOS17" s="3"/>
      <c r="TOZ17" s="97"/>
      <c r="TPA17" s="97"/>
      <c r="TPB17" s="3"/>
      <c r="TPI17" s="97"/>
      <c r="TPJ17" s="97"/>
      <c r="TPK17" s="3"/>
      <c r="TPR17" s="97"/>
      <c r="TPS17" s="97"/>
      <c r="TPT17" s="3"/>
      <c r="TQA17" s="97"/>
      <c r="TQB17" s="97"/>
      <c r="TQC17" s="3"/>
      <c r="TQJ17" s="97"/>
      <c r="TQK17" s="97"/>
      <c r="TQL17" s="3"/>
      <c r="TQS17" s="97"/>
      <c r="TQT17" s="97"/>
      <c r="TQU17" s="3"/>
      <c r="TRB17" s="97"/>
      <c r="TRC17" s="97"/>
      <c r="TRD17" s="3"/>
      <c r="TRK17" s="97"/>
      <c r="TRL17" s="97"/>
      <c r="TRM17" s="3"/>
      <c r="TRT17" s="97"/>
      <c r="TRU17" s="97"/>
      <c r="TRV17" s="3"/>
      <c r="TSC17" s="97"/>
      <c r="TSD17" s="97"/>
      <c r="TSE17" s="3"/>
      <c r="TSL17" s="97"/>
      <c r="TSM17" s="97"/>
      <c r="TSN17" s="3"/>
      <c r="TSU17" s="97"/>
      <c r="TSV17" s="97"/>
      <c r="TSW17" s="3"/>
      <c r="TTD17" s="97"/>
      <c r="TTE17" s="97"/>
      <c r="TTF17" s="3"/>
      <c r="TTM17" s="97"/>
      <c r="TTN17" s="97"/>
      <c r="TTO17" s="3"/>
      <c r="TTV17" s="97"/>
      <c r="TTW17" s="97"/>
      <c r="TTX17" s="3"/>
      <c r="TUE17" s="97"/>
      <c r="TUF17" s="97"/>
      <c r="TUG17" s="3"/>
      <c r="TUN17" s="97"/>
      <c r="TUO17" s="97"/>
      <c r="TUP17" s="3"/>
      <c r="TUW17" s="97"/>
      <c r="TUX17" s="97"/>
      <c r="TUY17" s="3"/>
      <c r="TVF17" s="97"/>
      <c r="TVG17" s="97"/>
      <c r="TVH17" s="3"/>
      <c r="TVO17" s="97"/>
      <c r="TVP17" s="97"/>
      <c r="TVQ17" s="3"/>
      <c r="TVX17" s="97"/>
      <c r="TVY17" s="97"/>
      <c r="TVZ17" s="3"/>
      <c r="TWG17" s="97"/>
      <c r="TWH17" s="97"/>
      <c r="TWI17" s="3"/>
      <c r="TWP17" s="97"/>
      <c r="TWQ17" s="97"/>
      <c r="TWR17" s="3"/>
      <c r="TWY17" s="97"/>
      <c r="TWZ17" s="97"/>
      <c r="TXA17" s="3"/>
      <c r="TXH17" s="97"/>
      <c r="TXI17" s="97"/>
      <c r="TXJ17" s="3"/>
      <c r="TXQ17" s="97"/>
      <c r="TXR17" s="97"/>
      <c r="TXS17" s="3"/>
      <c r="TXZ17" s="97"/>
      <c r="TYA17" s="97"/>
      <c r="TYB17" s="3"/>
      <c r="TYI17" s="97"/>
      <c r="TYJ17" s="97"/>
      <c r="TYK17" s="3"/>
      <c r="TYR17" s="97"/>
      <c r="TYS17" s="97"/>
      <c r="TYT17" s="3"/>
      <c r="TZA17" s="97"/>
      <c r="TZB17" s="97"/>
      <c r="TZC17" s="3"/>
      <c r="TZJ17" s="97"/>
      <c r="TZK17" s="97"/>
      <c r="TZL17" s="3"/>
      <c r="TZS17" s="97"/>
      <c r="TZT17" s="97"/>
      <c r="TZU17" s="3"/>
      <c r="UAB17" s="97"/>
      <c r="UAC17" s="97"/>
      <c r="UAD17" s="3"/>
      <c r="UAK17" s="97"/>
      <c r="UAL17" s="97"/>
      <c r="UAM17" s="3"/>
      <c r="UAT17" s="97"/>
      <c r="UAU17" s="97"/>
      <c r="UAV17" s="3"/>
      <c r="UBC17" s="97"/>
      <c r="UBD17" s="97"/>
      <c r="UBE17" s="3"/>
      <c r="UBL17" s="97"/>
      <c r="UBM17" s="97"/>
      <c r="UBN17" s="3"/>
      <c r="UBU17" s="97"/>
      <c r="UBV17" s="97"/>
      <c r="UBW17" s="3"/>
      <c r="UCD17" s="97"/>
      <c r="UCE17" s="97"/>
      <c r="UCF17" s="3"/>
      <c r="UCM17" s="97"/>
      <c r="UCN17" s="97"/>
      <c r="UCO17" s="3"/>
      <c r="UCV17" s="97"/>
      <c r="UCW17" s="97"/>
      <c r="UCX17" s="3"/>
      <c r="UDE17" s="97"/>
      <c r="UDF17" s="97"/>
      <c r="UDG17" s="3"/>
      <c r="UDN17" s="97"/>
      <c r="UDO17" s="97"/>
      <c r="UDP17" s="3"/>
      <c r="UDW17" s="97"/>
      <c r="UDX17" s="97"/>
      <c r="UDY17" s="3"/>
      <c r="UEF17" s="97"/>
      <c r="UEG17" s="97"/>
      <c r="UEH17" s="3"/>
      <c r="UEO17" s="97"/>
      <c r="UEP17" s="97"/>
      <c r="UEQ17" s="3"/>
      <c r="UEX17" s="97"/>
      <c r="UEY17" s="97"/>
      <c r="UEZ17" s="3"/>
      <c r="UFG17" s="97"/>
      <c r="UFH17" s="97"/>
      <c r="UFI17" s="3"/>
      <c r="UFP17" s="97"/>
      <c r="UFQ17" s="97"/>
      <c r="UFR17" s="3"/>
      <c r="UFY17" s="97"/>
      <c r="UFZ17" s="97"/>
      <c r="UGA17" s="3"/>
      <c r="UGH17" s="97"/>
      <c r="UGI17" s="97"/>
      <c r="UGJ17" s="3"/>
      <c r="UGQ17" s="97"/>
      <c r="UGR17" s="97"/>
      <c r="UGS17" s="3"/>
      <c r="UGZ17" s="97"/>
      <c r="UHA17" s="97"/>
      <c r="UHB17" s="3"/>
      <c r="UHI17" s="97"/>
      <c r="UHJ17" s="97"/>
      <c r="UHK17" s="3"/>
      <c r="UHR17" s="97"/>
      <c r="UHS17" s="97"/>
      <c r="UHT17" s="3"/>
      <c r="UIA17" s="97"/>
      <c r="UIB17" s="97"/>
      <c r="UIC17" s="3"/>
      <c r="UIJ17" s="97"/>
      <c r="UIK17" s="97"/>
      <c r="UIL17" s="3"/>
      <c r="UIS17" s="97"/>
      <c r="UIT17" s="97"/>
      <c r="UIU17" s="3"/>
      <c r="UJB17" s="97"/>
      <c r="UJC17" s="97"/>
      <c r="UJD17" s="3"/>
      <c r="UJK17" s="97"/>
      <c r="UJL17" s="97"/>
      <c r="UJM17" s="3"/>
      <c r="UJT17" s="97"/>
      <c r="UJU17" s="97"/>
      <c r="UJV17" s="3"/>
      <c r="UKC17" s="97"/>
      <c r="UKD17" s="97"/>
      <c r="UKE17" s="3"/>
      <c r="UKL17" s="97"/>
      <c r="UKM17" s="97"/>
      <c r="UKN17" s="3"/>
      <c r="UKU17" s="97"/>
      <c r="UKV17" s="97"/>
      <c r="UKW17" s="3"/>
      <c r="ULD17" s="97"/>
      <c r="ULE17" s="97"/>
      <c r="ULF17" s="3"/>
      <c r="ULM17" s="97"/>
      <c r="ULN17" s="97"/>
      <c r="ULO17" s="3"/>
      <c r="ULV17" s="97"/>
      <c r="ULW17" s="97"/>
      <c r="ULX17" s="3"/>
      <c r="UME17" s="97"/>
      <c r="UMF17" s="97"/>
      <c r="UMG17" s="3"/>
      <c r="UMN17" s="97"/>
      <c r="UMO17" s="97"/>
      <c r="UMP17" s="3"/>
      <c r="UMW17" s="97"/>
      <c r="UMX17" s="97"/>
      <c r="UMY17" s="3"/>
      <c r="UNF17" s="97"/>
      <c r="UNG17" s="97"/>
      <c r="UNH17" s="3"/>
      <c r="UNO17" s="97"/>
      <c r="UNP17" s="97"/>
      <c r="UNQ17" s="3"/>
      <c r="UNX17" s="97"/>
      <c r="UNY17" s="97"/>
      <c r="UNZ17" s="3"/>
      <c r="UOG17" s="97"/>
      <c r="UOH17" s="97"/>
      <c r="UOI17" s="3"/>
      <c r="UOP17" s="97"/>
      <c r="UOQ17" s="97"/>
      <c r="UOR17" s="3"/>
      <c r="UOY17" s="97"/>
      <c r="UOZ17" s="97"/>
      <c r="UPA17" s="3"/>
      <c r="UPH17" s="97"/>
      <c r="UPI17" s="97"/>
      <c r="UPJ17" s="3"/>
      <c r="UPQ17" s="97"/>
      <c r="UPR17" s="97"/>
      <c r="UPS17" s="3"/>
      <c r="UPZ17" s="97"/>
      <c r="UQA17" s="97"/>
      <c r="UQB17" s="3"/>
      <c r="UQI17" s="97"/>
      <c r="UQJ17" s="97"/>
      <c r="UQK17" s="3"/>
      <c r="UQR17" s="97"/>
      <c r="UQS17" s="97"/>
      <c r="UQT17" s="3"/>
      <c r="URA17" s="97"/>
      <c r="URB17" s="97"/>
      <c r="URC17" s="3"/>
      <c r="URJ17" s="97"/>
      <c r="URK17" s="97"/>
      <c r="URL17" s="3"/>
      <c r="URS17" s="97"/>
      <c r="URT17" s="97"/>
      <c r="URU17" s="3"/>
      <c r="USB17" s="97"/>
      <c r="USC17" s="97"/>
      <c r="USD17" s="3"/>
      <c r="USK17" s="97"/>
      <c r="USL17" s="97"/>
      <c r="USM17" s="3"/>
      <c r="UST17" s="97"/>
      <c r="USU17" s="97"/>
      <c r="USV17" s="3"/>
      <c r="UTC17" s="97"/>
      <c r="UTD17" s="97"/>
      <c r="UTE17" s="3"/>
      <c r="UTL17" s="97"/>
      <c r="UTM17" s="97"/>
      <c r="UTN17" s="3"/>
      <c r="UTU17" s="97"/>
      <c r="UTV17" s="97"/>
      <c r="UTW17" s="3"/>
      <c r="UUD17" s="97"/>
      <c r="UUE17" s="97"/>
      <c r="UUF17" s="3"/>
      <c r="UUM17" s="97"/>
      <c r="UUN17" s="97"/>
      <c r="UUO17" s="3"/>
      <c r="UUV17" s="97"/>
      <c r="UUW17" s="97"/>
      <c r="UUX17" s="3"/>
      <c r="UVE17" s="97"/>
      <c r="UVF17" s="97"/>
      <c r="UVG17" s="3"/>
      <c r="UVN17" s="97"/>
      <c r="UVO17" s="97"/>
      <c r="UVP17" s="3"/>
      <c r="UVW17" s="97"/>
      <c r="UVX17" s="97"/>
      <c r="UVY17" s="3"/>
      <c r="UWF17" s="97"/>
      <c r="UWG17" s="97"/>
      <c r="UWH17" s="3"/>
      <c r="UWO17" s="97"/>
      <c r="UWP17" s="97"/>
      <c r="UWQ17" s="3"/>
      <c r="UWX17" s="97"/>
      <c r="UWY17" s="97"/>
      <c r="UWZ17" s="3"/>
      <c r="UXG17" s="97"/>
      <c r="UXH17" s="97"/>
      <c r="UXI17" s="3"/>
      <c r="UXP17" s="97"/>
      <c r="UXQ17" s="97"/>
      <c r="UXR17" s="3"/>
      <c r="UXY17" s="97"/>
      <c r="UXZ17" s="97"/>
      <c r="UYA17" s="3"/>
      <c r="UYH17" s="97"/>
      <c r="UYI17" s="97"/>
      <c r="UYJ17" s="3"/>
      <c r="UYQ17" s="97"/>
      <c r="UYR17" s="97"/>
      <c r="UYS17" s="3"/>
      <c r="UYZ17" s="97"/>
      <c r="UZA17" s="97"/>
      <c r="UZB17" s="3"/>
      <c r="UZI17" s="97"/>
      <c r="UZJ17" s="97"/>
      <c r="UZK17" s="3"/>
      <c r="UZR17" s="97"/>
      <c r="UZS17" s="97"/>
      <c r="UZT17" s="3"/>
      <c r="VAA17" s="97"/>
      <c r="VAB17" s="97"/>
      <c r="VAC17" s="3"/>
      <c r="VAJ17" s="97"/>
      <c r="VAK17" s="97"/>
      <c r="VAL17" s="3"/>
      <c r="VAS17" s="97"/>
      <c r="VAT17" s="97"/>
      <c r="VAU17" s="3"/>
      <c r="VBB17" s="97"/>
      <c r="VBC17" s="97"/>
      <c r="VBD17" s="3"/>
      <c r="VBK17" s="97"/>
      <c r="VBL17" s="97"/>
      <c r="VBM17" s="3"/>
      <c r="VBT17" s="97"/>
      <c r="VBU17" s="97"/>
      <c r="VBV17" s="3"/>
      <c r="VCC17" s="97"/>
      <c r="VCD17" s="97"/>
      <c r="VCE17" s="3"/>
      <c r="VCL17" s="97"/>
      <c r="VCM17" s="97"/>
      <c r="VCN17" s="3"/>
      <c r="VCU17" s="97"/>
      <c r="VCV17" s="97"/>
      <c r="VCW17" s="3"/>
      <c r="VDD17" s="97"/>
      <c r="VDE17" s="97"/>
      <c r="VDF17" s="3"/>
      <c r="VDM17" s="97"/>
      <c r="VDN17" s="97"/>
      <c r="VDO17" s="3"/>
      <c r="VDV17" s="97"/>
      <c r="VDW17" s="97"/>
      <c r="VDX17" s="3"/>
      <c r="VEE17" s="97"/>
      <c r="VEF17" s="97"/>
      <c r="VEG17" s="3"/>
      <c r="VEN17" s="97"/>
      <c r="VEO17" s="97"/>
      <c r="VEP17" s="3"/>
      <c r="VEW17" s="97"/>
      <c r="VEX17" s="97"/>
      <c r="VEY17" s="3"/>
      <c r="VFF17" s="97"/>
      <c r="VFG17" s="97"/>
      <c r="VFH17" s="3"/>
      <c r="VFO17" s="97"/>
      <c r="VFP17" s="97"/>
      <c r="VFQ17" s="3"/>
      <c r="VFX17" s="97"/>
      <c r="VFY17" s="97"/>
      <c r="VFZ17" s="3"/>
      <c r="VGG17" s="97"/>
      <c r="VGH17" s="97"/>
      <c r="VGI17" s="3"/>
      <c r="VGP17" s="97"/>
      <c r="VGQ17" s="97"/>
      <c r="VGR17" s="3"/>
      <c r="VGY17" s="97"/>
      <c r="VGZ17" s="97"/>
      <c r="VHA17" s="3"/>
      <c r="VHH17" s="97"/>
      <c r="VHI17" s="97"/>
      <c r="VHJ17" s="3"/>
      <c r="VHQ17" s="97"/>
      <c r="VHR17" s="97"/>
      <c r="VHS17" s="3"/>
      <c r="VHZ17" s="97"/>
      <c r="VIA17" s="97"/>
      <c r="VIB17" s="3"/>
      <c r="VII17" s="97"/>
      <c r="VIJ17" s="97"/>
      <c r="VIK17" s="3"/>
      <c r="VIR17" s="97"/>
      <c r="VIS17" s="97"/>
      <c r="VIT17" s="3"/>
      <c r="VJA17" s="97"/>
      <c r="VJB17" s="97"/>
      <c r="VJC17" s="3"/>
      <c r="VJJ17" s="97"/>
      <c r="VJK17" s="97"/>
      <c r="VJL17" s="3"/>
      <c r="VJS17" s="97"/>
      <c r="VJT17" s="97"/>
      <c r="VJU17" s="3"/>
      <c r="VKB17" s="97"/>
      <c r="VKC17" s="97"/>
      <c r="VKD17" s="3"/>
      <c r="VKK17" s="97"/>
      <c r="VKL17" s="97"/>
      <c r="VKM17" s="3"/>
      <c r="VKT17" s="97"/>
      <c r="VKU17" s="97"/>
      <c r="VKV17" s="3"/>
      <c r="VLC17" s="97"/>
      <c r="VLD17" s="97"/>
      <c r="VLE17" s="3"/>
      <c r="VLL17" s="97"/>
      <c r="VLM17" s="97"/>
      <c r="VLN17" s="3"/>
      <c r="VLU17" s="97"/>
      <c r="VLV17" s="97"/>
      <c r="VLW17" s="3"/>
      <c r="VMD17" s="97"/>
      <c r="VME17" s="97"/>
      <c r="VMF17" s="3"/>
      <c r="VMM17" s="97"/>
      <c r="VMN17" s="97"/>
      <c r="VMO17" s="3"/>
      <c r="VMV17" s="97"/>
      <c r="VMW17" s="97"/>
      <c r="VMX17" s="3"/>
      <c r="VNE17" s="97"/>
      <c r="VNF17" s="97"/>
      <c r="VNG17" s="3"/>
      <c r="VNN17" s="97"/>
      <c r="VNO17" s="97"/>
      <c r="VNP17" s="3"/>
      <c r="VNW17" s="97"/>
      <c r="VNX17" s="97"/>
      <c r="VNY17" s="3"/>
      <c r="VOF17" s="97"/>
      <c r="VOG17" s="97"/>
      <c r="VOH17" s="3"/>
      <c r="VOO17" s="97"/>
      <c r="VOP17" s="97"/>
      <c r="VOQ17" s="3"/>
      <c r="VOX17" s="97"/>
      <c r="VOY17" s="97"/>
      <c r="VOZ17" s="3"/>
      <c r="VPG17" s="97"/>
      <c r="VPH17" s="97"/>
      <c r="VPI17" s="3"/>
      <c r="VPP17" s="97"/>
      <c r="VPQ17" s="97"/>
      <c r="VPR17" s="3"/>
      <c r="VPY17" s="97"/>
      <c r="VPZ17" s="97"/>
      <c r="VQA17" s="3"/>
      <c r="VQH17" s="97"/>
      <c r="VQI17" s="97"/>
      <c r="VQJ17" s="3"/>
      <c r="VQQ17" s="97"/>
      <c r="VQR17" s="97"/>
      <c r="VQS17" s="3"/>
      <c r="VQZ17" s="97"/>
      <c r="VRA17" s="97"/>
      <c r="VRB17" s="3"/>
      <c r="VRI17" s="97"/>
      <c r="VRJ17" s="97"/>
      <c r="VRK17" s="3"/>
      <c r="VRR17" s="97"/>
      <c r="VRS17" s="97"/>
      <c r="VRT17" s="3"/>
      <c r="VSA17" s="97"/>
      <c r="VSB17" s="97"/>
      <c r="VSC17" s="3"/>
      <c r="VSJ17" s="97"/>
      <c r="VSK17" s="97"/>
      <c r="VSL17" s="3"/>
      <c r="VSS17" s="97"/>
      <c r="VST17" s="97"/>
      <c r="VSU17" s="3"/>
      <c r="VTB17" s="97"/>
      <c r="VTC17" s="97"/>
      <c r="VTD17" s="3"/>
      <c r="VTK17" s="97"/>
      <c r="VTL17" s="97"/>
      <c r="VTM17" s="3"/>
      <c r="VTT17" s="97"/>
      <c r="VTU17" s="97"/>
      <c r="VTV17" s="3"/>
      <c r="VUC17" s="97"/>
      <c r="VUD17" s="97"/>
      <c r="VUE17" s="3"/>
      <c r="VUL17" s="97"/>
      <c r="VUM17" s="97"/>
      <c r="VUN17" s="3"/>
      <c r="VUU17" s="97"/>
      <c r="VUV17" s="97"/>
      <c r="VUW17" s="3"/>
      <c r="VVD17" s="97"/>
      <c r="VVE17" s="97"/>
      <c r="VVF17" s="3"/>
      <c r="VVM17" s="97"/>
      <c r="VVN17" s="97"/>
      <c r="VVO17" s="3"/>
      <c r="VVV17" s="97"/>
      <c r="VVW17" s="97"/>
      <c r="VVX17" s="3"/>
      <c r="VWE17" s="97"/>
      <c r="VWF17" s="97"/>
      <c r="VWG17" s="3"/>
      <c r="VWN17" s="97"/>
      <c r="VWO17" s="97"/>
      <c r="VWP17" s="3"/>
      <c r="VWW17" s="97"/>
      <c r="VWX17" s="97"/>
      <c r="VWY17" s="3"/>
      <c r="VXF17" s="97"/>
      <c r="VXG17" s="97"/>
      <c r="VXH17" s="3"/>
      <c r="VXO17" s="97"/>
      <c r="VXP17" s="97"/>
      <c r="VXQ17" s="3"/>
      <c r="VXX17" s="97"/>
      <c r="VXY17" s="97"/>
      <c r="VXZ17" s="3"/>
      <c r="VYG17" s="97"/>
      <c r="VYH17" s="97"/>
      <c r="VYI17" s="3"/>
      <c r="VYP17" s="97"/>
      <c r="VYQ17" s="97"/>
      <c r="VYR17" s="3"/>
      <c r="VYY17" s="97"/>
      <c r="VYZ17" s="97"/>
      <c r="VZA17" s="3"/>
      <c r="VZH17" s="97"/>
      <c r="VZI17" s="97"/>
      <c r="VZJ17" s="3"/>
      <c r="VZQ17" s="97"/>
      <c r="VZR17" s="97"/>
      <c r="VZS17" s="3"/>
      <c r="VZZ17" s="97"/>
      <c r="WAA17" s="97"/>
      <c r="WAB17" s="3"/>
      <c r="WAI17" s="97"/>
      <c r="WAJ17" s="97"/>
      <c r="WAK17" s="3"/>
      <c r="WAR17" s="97"/>
      <c r="WAS17" s="97"/>
      <c r="WAT17" s="3"/>
      <c r="WBA17" s="97"/>
      <c r="WBB17" s="97"/>
      <c r="WBC17" s="3"/>
      <c r="WBJ17" s="97"/>
      <c r="WBK17" s="97"/>
      <c r="WBL17" s="3"/>
      <c r="WBS17" s="97"/>
      <c r="WBT17" s="97"/>
      <c r="WBU17" s="3"/>
      <c r="WCB17" s="97"/>
      <c r="WCC17" s="97"/>
      <c r="WCD17" s="3"/>
      <c r="WCK17" s="97"/>
      <c r="WCL17" s="97"/>
      <c r="WCM17" s="3"/>
      <c r="WCT17" s="97"/>
      <c r="WCU17" s="97"/>
      <c r="WCV17" s="3"/>
      <c r="WDC17" s="97"/>
      <c r="WDD17" s="97"/>
      <c r="WDE17" s="3"/>
      <c r="WDL17" s="97"/>
      <c r="WDM17" s="97"/>
      <c r="WDN17" s="3"/>
      <c r="WDU17" s="97"/>
      <c r="WDV17" s="97"/>
      <c r="WDW17" s="3"/>
      <c r="WED17" s="97"/>
      <c r="WEE17" s="97"/>
      <c r="WEF17" s="3"/>
      <c r="WEM17" s="97"/>
      <c r="WEN17" s="97"/>
      <c r="WEO17" s="3"/>
      <c r="WEV17" s="97"/>
      <c r="WEW17" s="97"/>
      <c r="WEX17" s="3"/>
      <c r="WFE17" s="97"/>
      <c r="WFF17" s="97"/>
      <c r="WFG17" s="3"/>
      <c r="WFN17" s="97"/>
      <c r="WFO17" s="97"/>
      <c r="WFP17" s="3"/>
      <c r="WFW17" s="97"/>
      <c r="WFX17" s="97"/>
      <c r="WFY17" s="3"/>
      <c r="WGF17" s="97"/>
      <c r="WGG17" s="97"/>
      <c r="WGH17" s="3"/>
      <c r="WGO17" s="97"/>
      <c r="WGP17" s="97"/>
      <c r="WGQ17" s="3"/>
      <c r="WGX17" s="97"/>
      <c r="WGY17" s="97"/>
      <c r="WGZ17" s="3"/>
      <c r="WHG17" s="97"/>
      <c r="WHH17" s="97"/>
      <c r="WHI17" s="3"/>
      <c r="WHP17" s="97"/>
      <c r="WHQ17" s="97"/>
      <c r="WHR17" s="3"/>
      <c r="WHY17" s="97"/>
      <c r="WHZ17" s="97"/>
      <c r="WIA17" s="3"/>
      <c r="WIH17" s="97"/>
      <c r="WII17" s="97"/>
      <c r="WIJ17" s="3"/>
      <c r="WIQ17" s="97"/>
      <c r="WIR17" s="97"/>
      <c r="WIS17" s="3"/>
      <c r="WIZ17" s="97"/>
      <c r="WJA17" s="97"/>
      <c r="WJB17" s="3"/>
      <c r="WJI17" s="97"/>
      <c r="WJJ17" s="97"/>
      <c r="WJK17" s="3"/>
      <c r="WJR17" s="97"/>
      <c r="WJS17" s="97"/>
      <c r="WJT17" s="3"/>
      <c r="WKA17" s="97"/>
      <c r="WKB17" s="97"/>
      <c r="WKC17" s="3"/>
      <c r="WKJ17" s="97"/>
      <c r="WKK17" s="97"/>
      <c r="WKL17" s="3"/>
      <c r="WKS17" s="97"/>
      <c r="WKT17" s="97"/>
      <c r="WKU17" s="3"/>
      <c r="WLB17" s="97"/>
      <c r="WLC17" s="97"/>
      <c r="WLD17" s="3"/>
      <c r="WLK17" s="97"/>
      <c r="WLL17" s="97"/>
      <c r="WLM17" s="3"/>
      <c r="WLT17" s="97"/>
      <c r="WLU17" s="97"/>
      <c r="WLV17" s="3"/>
      <c r="WMC17" s="97"/>
      <c r="WMD17" s="97"/>
      <c r="WME17" s="3"/>
      <c r="WML17" s="97"/>
      <c r="WMM17" s="97"/>
      <c r="WMN17" s="3"/>
      <c r="WMU17" s="97"/>
      <c r="WMV17" s="97"/>
      <c r="WMW17" s="3"/>
      <c r="WND17" s="97"/>
      <c r="WNE17" s="97"/>
      <c r="WNF17" s="3"/>
      <c r="WNM17" s="97"/>
      <c r="WNN17" s="97"/>
      <c r="WNO17" s="3"/>
      <c r="WNV17" s="97"/>
      <c r="WNW17" s="97"/>
      <c r="WNX17" s="3"/>
      <c r="WOE17" s="97"/>
      <c r="WOF17" s="97"/>
      <c r="WOG17" s="3"/>
      <c r="WON17" s="97"/>
      <c r="WOO17" s="97"/>
      <c r="WOP17" s="3"/>
      <c r="WOW17" s="97"/>
      <c r="WOX17" s="97"/>
      <c r="WOY17" s="3"/>
      <c r="WPF17" s="97"/>
      <c r="WPG17" s="97"/>
      <c r="WPH17" s="3"/>
      <c r="WPO17" s="97"/>
      <c r="WPP17" s="97"/>
      <c r="WPQ17" s="3"/>
      <c r="WPX17" s="97"/>
      <c r="WPY17" s="97"/>
      <c r="WPZ17" s="3"/>
      <c r="WQG17" s="97"/>
      <c r="WQH17" s="97"/>
      <c r="WQI17" s="3"/>
      <c r="WQP17" s="97"/>
      <c r="WQQ17" s="97"/>
      <c r="WQR17" s="3"/>
      <c r="WQY17" s="97"/>
      <c r="WQZ17" s="97"/>
      <c r="WRA17" s="3"/>
      <c r="WRH17" s="97"/>
      <c r="WRI17" s="97"/>
      <c r="WRJ17" s="3"/>
      <c r="WRQ17" s="97"/>
      <c r="WRR17" s="97"/>
      <c r="WRS17" s="3"/>
      <c r="WRZ17" s="97"/>
      <c r="WSA17" s="97"/>
      <c r="WSB17" s="3"/>
      <c r="WSI17" s="97"/>
      <c r="WSJ17" s="97"/>
      <c r="WSK17" s="3"/>
      <c r="WSR17" s="97"/>
      <c r="WSS17" s="97"/>
      <c r="WST17" s="3"/>
      <c r="WTA17" s="97"/>
      <c r="WTB17" s="97"/>
      <c r="WTC17" s="3"/>
      <c r="WTJ17" s="97"/>
      <c r="WTK17" s="97"/>
      <c r="WTL17" s="3"/>
      <c r="WTS17" s="97"/>
      <c r="WTT17" s="97"/>
      <c r="WTU17" s="3"/>
      <c r="WUB17" s="97"/>
      <c r="WUC17" s="97"/>
      <c r="WUD17" s="3"/>
      <c r="WUK17" s="97"/>
      <c r="WUL17" s="97"/>
      <c r="WUM17" s="3"/>
      <c r="WUT17" s="97"/>
      <c r="WUU17" s="97"/>
      <c r="WUV17" s="3"/>
      <c r="WVC17" s="97"/>
      <c r="WVD17" s="97"/>
      <c r="WVE17" s="3"/>
      <c r="WVL17" s="97"/>
      <c r="WVM17" s="97"/>
      <c r="WVN17" s="3"/>
      <c r="WVU17" s="97"/>
      <c r="WVV17" s="97"/>
      <c r="WVW17" s="3"/>
      <c r="WWD17" s="97"/>
      <c r="WWE17" s="97"/>
      <c r="WWF17" s="3"/>
      <c r="WWM17" s="97"/>
      <c r="WWN17" s="97"/>
      <c r="WWO17" s="3"/>
      <c r="WWV17" s="97"/>
      <c r="WWW17" s="97"/>
      <c r="WWX17" s="3"/>
      <c r="WXE17" s="97"/>
      <c r="WXF17" s="97"/>
      <c r="WXG17" s="3"/>
      <c r="WXN17" s="97"/>
      <c r="WXO17" s="97"/>
      <c r="WXP17" s="3"/>
      <c r="WXW17" s="97"/>
      <c r="WXX17" s="97"/>
      <c r="WXY17" s="3"/>
      <c r="WYF17" s="97"/>
      <c r="WYG17" s="97"/>
      <c r="WYH17" s="3"/>
      <c r="WYO17" s="97"/>
      <c r="WYP17" s="97"/>
      <c r="WYQ17" s="3"/>
      <c r="WYX17" s="97"/>
      <c r="WYY17" s="97"/>
      <c r="WYZ17" s="3"/>
      <c r="WZG17" s="97"/>
      <c r="WZH17" s="97"/>
      <c r="WZI17" s="3"/>
      <c r="WZP17" s="97"/>
      <c r="WZQ17" s="97"/>
      <c r="WZR17" s="3"/>
      <c r="WZY17" s="97"/>
      <c r="WZZ17" s="97"/>
      <c r="XAA17" s="3"/>
      <c r="XAH17" s="97"/>
      <c r="XAI17" s="97"/>
      <c r="XAJ17" s="3"/>
      <c r="XAQ17" s="97"/>
      <c r="XAR17" s="97"/>
      <c r="XAS17" s="3"/>
      <c r="XAZ17" s="97"/>
      <c r="XBA17" s="97"/>
      <c r="XBB17" s="3"/>
      <c r="XBI17" s="97"/>
      <c r="XBJ17" s="97"/>
      <c r="XBK17" s="3"/>
      <c r="XBR17" s="97"/>
      <c r="XBS17" s="97"/>
      <c r="XBT17" s="3"/>
      <c r="XCA17" s="97"/>
      <c r="XCB17" s="97"/>
      <c r="XCC17" s="3"/>
      <c r="XCJ17" s="97"/>
      <c r="XCK17" s="97"/>
      <c r="XCL17" s="3"/>
      <c r="XCS17" s="97"/>
      <c r="XCT17" s="97"/>
      <c r="XCU17" s="3"/>
      <c r="XDB17" s="97"/>
      <c r="XDC17" s="97"/>
      <c r="XDD17" s="3"/>
      <c r="XDK17" s="97"/>
      <c r="XDL17" s="97"/>
      <c r="XDM17" s="3"/>
      <c r="XDT17" s="97"/>
      <c r="XDU17" s="97"/>
      <c r="XDV17" s="3"/>
      <c r="XEC17" s="97"/>
      <c r="XED17" s="97"/>
      <c r="XEE17" s="3"/>
      <c r="XEL17" s="97"/>
      <c r="XEM17" s="97"/>
      <c r="XEN17" s="3"/>
      <c r="XEU17" s="97"/>
      <c r="XEV17" s="97"/>
    </row>
    <row r="18" spans="1:1023 1030:3066 3073:4092 4099:5118 5125:6144 6151:8187 8194:9213 9220:10239 10246:12282 12289:13308 13315:14334 14341:15360 15367:16376" ht="15.95" customHeight="1" x14ac:dyDescent="0.2">
      <c r="A18" s="1"/>
      <c r="B18" s="78" t="str">
        <f>"Received Referrals " &amp;TEXT('Data Staging Provider Stats'!AQ5,"MMM")&amp;" "&amp;TEXT('Data Staging Provider Stats'!AQ5,"YYYY")</f>
        <v>Received Referrals Oct 2025</v>
      </c>
      <c r="C18" s="1"/>
      <c r="D18" s="57" t="str">
        <f>calcs!D8</f>
        <v>All Other (5)</v>
      </c>
      <c r="E18" s="59">
        <f>calcs!F8</f>
        <v>0</v>
      </c>
      <c r="F18" s="59">
        <f>calcs!G8</f>
        <v>0</v>
      </c>
      <c r="G18" s="58">
        <f>calcs!E8</f>
        <v>0</v>
      </c>
      <c r="H18" s="58"/>
      <c r="I18" s="50"/>
      <c r="J18" s="57" t="s">
        <v>5</v>
      </c>
      <c r="K18" s="59">
        <f>K34-SUM(K19:K33)</f>
        <v>0</v>
      </c>
      <c r="L18" s="59">
        <f>L34-SUM(L19:L33)</f>
        <v>0</v>
      </c>
      <c r="M18" s="59">
        <f>M34-SUM(M19:M33)</f>
        <v>0</v>
      </c>
      <c r="N18" s="58"/>
      <c r="O18" s="1"/>
      <c r="P18" s="26"/>
      <c r="Q18" s="26"/>
      <c r="R18" s="26"/>
      <c r="S18" s="26"/>
      <c r="U18" s="75" t="s">
        <v>33</v>
      </c>
      <c r="V18" s="74">
        <f>'Data Staging Lag'!Q6</f>
        <v>366</v>
      </c>
      <c r="W18" s="74">
        <f>'Data Staging Lag'!P6</f>
        <v>276</v>
      </c>
      <c r="X18" s="74">
        <f>'Data Staging Lag'!O6</f>
        <v>367</v>
      </c>
      <c r="Y18" s="74">
        <f>'Data Staging Lag'!N6</f>
        <v>332</v>
      </c>
      <c r="Z18" s="74">
        <f>'Data Staging Lag'!M6</f>
        <v>325</v>
      </c>
      <c r="AA18" s="74">
        <f>'Data Staging Lag'!L6</f>
        <v>384</v>
      </c>
      <c r="AB18" s="74">
        <f>'Data Staging Lag'!K6</f>
        <v>351</v>
      </c>
      <c r="AC18" s="74">
        <f>'Data Staging Lag'!J6</f>
        <v>366</v>
      </c>
      <c r="AD18" s="74">
        <f>'Data Staging Lag'!I6</f>
        <v>362</v>
      </c>
      <c r="AE18" s="74">
        <f>'Data Staging Lag'!H6</f>
        <v>331</v>
      </c>
      <c r="AF18" s="74">
        <f>'Data Staging Lag'!J6</f>
        <v>366</v>
      </c>
      <c r="AG18" s="74">
        <f>'Data Staging Lag'!F6</f>
        <v>353</v>
      </c>
      <c r="AH18" s="74">
        <f>'Data Staging Lag'!E6</f>
        <v>414</v>
      </c>
      <c r="AI18" s="74">
        <f>SUM(V18:AH18)</f>
        <v>4593</v>
      </c>
    </row>
    <row r="19" spans="1:1023 1030:3066 3073:4092 4099:5118 5125:6144 6151:8187 8194:9213 9220:10239 10246:12282 12289:13308 13315:14334 14341:15360 15367:16376" ht="15.95" customHeight="1" x14ac:dyDescent="0.2">
      <c r="A19" s="1"/>
      <c r="B19" s="80">
        <v>534</v>
      </c>
      <c r="C19" s="1"/>
      <c r="D19" s="57" t="str">
        <f>calcs!D9</f>
        <v>Marcel Hilton</v>
      </c>
      <c r="E19" s="61">
        <f>calcs!F9</f>
        <v>158</v>
      </c>
      <c r="F19" s="61">
        <f>calcs!G9</f>
        <v>159</v>
      </c>
      <c r="G19" s="61">
        <f>calcs!E9</f>
        <v>317</v>
      </c>
      <c r="H19" s="58"/>
      <c r="I19" s="50"/>
      <c r="J19" s="57" t="str">
        <f>calcs!D31</f>
        <v>North Georiga Medical Clinic</v>
      </c>
      <c r="K19" s="61">
        <f>calcs!F31</f>
        <v>158</v>
      </c>
      <c r="L19" s="61">
        <f>calcs!G31</f>
        <v>159</v>
      </c>
      <c r="M19" s="61">
        <f>calcs!E31</f>
        <v>317</v>
      </c>
      <c r="N19" s="58"/>
      <c r="O19" s="1"/>
      <c r="P19" s="27"/>
      <c r="Q19" s="27"/>
      <c r="R19" s="27"/>
      <c r="S19" s="27"/>
      <c r="U19" s="76" t="str">
        <f>calcs!R4</f>
        <v>Marcel Hilton</v>
      </c>
      <c r="V19" s="74">
        <f>calcs!S4</f>
        <v>40</v>
      </c>
      <c r="W19" s="74">
        <f>calcs!T4</f>
        <v>27</v>
      </c>
      <c r="X19" s="74">
        <f>calcs!U4</f>
        <v>31</v>
      </c>
      <c r="Y19" s="74">
        <f>calcs!V4</f>
        <v>33</v>
      </c>
      <c r="Z19" s="74">
        <f>calcs!W4</f>
        <v>34</v>
      </c>
      <c r="AA19" s="74">
        <f>calcs!X4</f>
        <v>21</v>
      </c>
      <c r="AB19" s="74">
        <f>calcs!Y4</f>
        <v>34</v>
      </c>
      <c r="AC19" s="74">
        <f>calcs!Z4</f>
        <v>31</v>
      </c>
      <c r="AD19" s="74">
        <f>calcs!AA4</f>
        <v>34</v>
      </c>
      <c r="AE19" s="74">
        <f>calcs!AB4</f>
        <v>32</v>
      </c>
      <c r="AF19" s="74">
        <f>calcs!AC4</f>
        <v>23</v>
      </c>
      <c r="AG19" s="74">
        <f>calcs!AD4</f>
        <v>33</v>
      </c>
      <c r="AH19" s="74">
        <f>calcs!AE4</f>
        <v>33</v>
      </c>
      <c r="AI19" s="74">
        <f>calcs!AF4</f>
        <v>406</v>
      </c>
    </row>
    <row r="20" spans="1:1023 1030:3066 3073:4092 4099:5118 5125:6144 6151:8187 8194:9213 9220:10239 10246:12282 12289:13308 13315:14334 14341:15360 15367:16376" ht="15.95" customHeight="1" x14ac:dyDescent="0.2">
      <c r="A20" s="1"/>
      <c r="B20" s="80"/>
      <c r="C20" s="1"/>
      <c r="D20" s="57" t="str">
        <f>calcs!D10</f>
        <v>Anna Stewart</v>
      </c>
      <c r="E20" s="58">
        <f>calcs!F10</f>
        <v>86</v>
      </c>
      <c r="F20" s="58">
        <f>calcs!G10</f>
        <v>78</v>
      </c>
      <c r="G20" s="58">
        <f>calcs!E10</f>
        <v>164</v>
      </c>
      <c r="H20" s="58"/>
      <c r="I20" s="50"/>
      <c r="J20" s="57" t="str">
        <f>calcs!D32</f>
        <v>Cornerstone Clinic</v>
      </c>
      <c r="K20" s="58">
        <f>calcs!F32</f>
        <v>86</v>
      </c>
      <c r="L20" s="58">
        <f>calcs!G32</f>
        <v>78</v>
      </c>
      <c r="M20" s="58">
        <f>calcs!E32</f>
        <v>164</v>
      </c>
      <c r="N20" s="58"/>
      <c r="O20" s="1"/>
      <c r="P20" s="12"/>
      <c r="Q20" s="12"/>
      <c r="R20" s="12"/>
      <c r="S20" s="12"/>
      <c r="U20" s="76" t="str">
        <f>calcs!R5</f>
        <v>Anna Stewart</v>
      </c>
      <c r="V20" s="74">
        <f>calcs!S5</f>
        <v>17</v>
      </c>
      <c r="W20" s="74">
        <f>calcs!T5</f>
        <v>13</v>
      </c>
      <c r="X20" s="74">
        <f>calcs!U5</f>
        <v>15</v>
      </c>
      <c r="Y20" s="74">
        <f>calcs!V5</f>
        <v>12</v>
      </c>
      <c r="Z20" s="74">
        <f>calcs!W5</f>
        <v>17</v>
      </c>
      <c r="AA20" s="74">
        <f>calcs!X5</f>
        <v>18</v>
      </c>
      <c r="AB20" s="74">
        <f>calcs!Y5</f>
        <v>17</v>
      </c>
      <c r="AC20" s="74">
        <f>calcs!Z5</f>
        <v>18</v>
      </c>
      <c r="AD20" s="74">
        <f>calcs!AA5</f>
        <v>20</v>
      </c>
      <c r="AE20" s="74">
        <f>calcs!AB5</f>
        <v>17</v>
      </c>
      <c r="AF20" s="74">
        <f>calcs!AC5</f>
        <v>12</v>
      </c>
      <c r="AG20" s="74">
        <f>calcs!AD5</f>
        <v>14</v>
      </c>
      <c r="AH20" s="74">
        <f>calcs!AE5</f>
        <v>14</v>
      </c>
      <c r="AI20" s="74">
        <f>calcs!AF5</f>
        <v>204</v>
      </c>
    </row>
    <row r="21" spans="1:1023 1030:3066 3073:4092 4099:5118 5125:6144 6151:8187 8194:9213 9220:10239 10246:12282 12289:13308 13315:14334 14341:15360 15367:16376" ht="15.95" customHeight="1" x14ac:dyDescent="0.2">
      <c r="A21" s="1"/>
      <c r="B21" s="78" t="str">
        <f>"Received Referrals "&amp;TEXT('Data Staging Lag'!E5,"MMM")&amp;" "&amp;TEXT('Data Staging Lag'!E5,"YYYY")</f>
        <v>Received Referrals Oct 2024</v>
      </c>
      <c r="C21" s="1"/>
      <c r="D21" s="57" t="str">
        <f>calcs!D11</f>
        <v>Mohammad Frye</v>
      </c>
      <c r="E21" s="58">
        <f>calcs!F11</f>
        <v>78</v>
      </c>
      <c r="F21" s="58">
        <f>calcs!G11</f>
        <v>80</v>
      </c>
      <c r="G21" s="58">
        <f>calcs!E11</f>
        <v>158</v>
      </c>
      <c r="H21" s="58"/>
      <c r="I21" s="50"/>
      <c r="J21" s="57" t="str">
        <f>calcs!D33</f>
        <v>Neighborhood Medical Clinic</v>
      </c>
      <c r="K21" s="58">
        <f>calcs!F33</f>
        <v>78</v>
      </c>
      <c r="L21" s="58">
        <f>calcs!G33</f>
        <v>80</v>
      </c>
      <c r="M21" s="58">
        <f>calcs!E33</f>
        <v>158</v>
      </c>
      <c r="N21" s="58"/>
      <c r="O21" s="1"/>
      <c r="P21" s="12"/>
      <c r="Q21" s="88"/>
      <c r="R21" s="88"/>
      <c r="S21" s="28"/>
      <c r="U21" s="76" t="str">
        <f>calcs!R6</f>
        <v>Mohammad Frye</v>
      </c>
      <c r="V21" s="74">
        <f>calcs!S6</f>
        <v>26</v>
      </c>
      <c r="W21" s="74">
        <f>calcs!T6</f>
        <v>17</v>
      </c>
      <c r="X21" s="74">
        <f>calcs!U6</f>
        <v>14</v>
      </c>
      <c r="Y21" s="74">
        <f>calcs!V6</f>
        <v>11</v>
      </c>
      <c r="Z21" s="74">
        <f>calcs!W6</f>
        <v>12</v>
      </c>
      <c r="AA21" s="74">
        <f>calcs!X6</f>
        <v>19</v>
      </c>
      <c r="AB21" s="74">
        <f>calcs!Y6</f>
        <v>9</v>
      </c>
      <c r="AC21" s="74">
        <f>calcs!Z6</f>
        <v>20</v>
      </c>
      <c r="AD21" s="74">
        <f>calcs!AA6</f>
        <v>14</v>
      </c>
      <c r="AE21" s="74">
        <f>calcs!AB6</f>
        <v>16</v>
      </c>
      <c r="AF21" s="74">
        <f>calcs!AC6</f>
        <v>10</v>
      </c>
      <c r="AG21" s="74">
        <f>calcs!AD6</f>
        <v>18</v>
      </c>
      <c r="AH21" s="74">
        <f>calcs!AE6</f>
        <v>19</v>
      </c>
      <c r="AI21" s="74">
        <f>calcs!AF6</f>
        <v>205</v>
      </c>
    </row>
    <row r="22" spans="1:1023 1030:3066 3073:4092 4099:5118 5125:6144 6151:8187 8194:9213 9220:10239 10246:12282 12289:13308 13315:14334 14341:15360 15367:16376" ht="15.95" customHeight="1" x14ac:dyDescent="0.2">
      <c r="A22" s="1"/>
      <c r="B22" s="103" t="str">
        <f>CONCATENATE(ROUND(((B16-B19)/B19*100),2), "%",IF(((B16-B19)/B19)&lt;0," Decrease"," Increase"))</f>
        <v>-2.06% Decrease</v>
      </c>
      <c r="C22" s="1"/>
      <c r="D22" s="57" t="str">
        <f>calcs!D12</f>
        <v>Jerry Smith</v>
      </c>
      <c r="E22" s="58">
        <f>calcs!F12</f>
        <v>77</v>
      </c>
      <c r="F22" s="58">
        <f>calcs!G12</f>
        <v>77</v>
      </c>
      <c r="G22" s="58">
        <f>calcs!E12</f>
        <v>154</v>
      </c>
      <c r="H22" s="58"/>
      <c r="I22" s="50"/>
      <c r="J22" s="57" t="str">
        <f>calcs!D34</f>
        <v>Georgia Urgent Care Center</v>
      </c>
      <c r="K22" s="58">
        <f>calcs!F34</f>
        <v>77</v>
      </c>
      <c r="L22" s="58">
        <f>calcs!G34</f>
        <v>77</v>
      </c>
      <c r="M22" s="58">
        <f>calcs!E34</f>
        <v>154</v>
      </c>
      <c r="N22" s="58"/>
      <c r="O22" s="1"/>
      <c r="P22" s="12"/>
      <c r="Q22" s="92"/>
      <c r="R22" s="92"/>
      <c r="S22" s="29"/>
      <c r="U22" s="76" t="str">
        <f>calcs!R7</f>
        <v>Jerry Smith</v>
      </c>
      <c r="V22" s="74">
        <f>calcs!S7</f>
        <v>19</v>
      </c>
      <c r="W22" s="74">
        <f>calcs!T7</f>
        <v>12</v>
      </c>
      <c r="X22" s="74">
        <f>calcs!U7</f>
        <v>18</v>
      </c>
      <c r="Y22" s="74">
        <f>calcs!V7</f>
        <v>14</v>
      </c>
      <c r="Z22" s="74">
        <f>calcs!W7</f>
        <v>12</v>
      </c>
      <c r="AA22" s="74">
        <f>calcs!X7</f>
        <v>15</v>
      </c>
      <c r="AB22" s="74">
        <f>calcs!Y7</f>
        <v>20</v>
      </c>
      <c r="AC22" s="74">
        <f>calcs!Z7</f>
        <v>17</v>
      </c>
      <c r="AD22" s="74">
        <f>calcs!AA7</f>
        <v>10</v>
      </c>
      <c r="AE22" s="74">
        <f>calcs!AB7</f>
        <v>17</v>
      </c>
      <c r="AF22" s="74">
        <f>calcs!AC7</f>
        <v>12</v>
      </c>
      <c r="AG22" s="74">
        <f>calcs!AD7</f>
        <v>18</v>
      </c>
      <c r="AH22" s="74">
        <f>calcs!AE7</f>
        <v>23</v>
      </c>
      <c r="AI22" s="74">
        <f>calcs!AF7</f>
        <v>207</v>
      </c>
    </row>
    <row r="23" spans="1:1023 1030:3066 3073:4092 4099:5118 5125:6144 6151:8187 8194:9213 9220:10239 10246:12282 12289:13308 13315:14334 14341:15360 15367:16376" ht="15.75" customHeight="1" x14ac:dyDescent="0.2">
      <c r="A23" s="1"/>
      <c r="B23" s="103"/>
      <c r="C23" s="1"/>
      <c r="D23" s="57" t="str">
        <f>calcs!D13</f>
        <v>Sabrina Byrd</v>
      </c>
      <c r="E23" s="58">
        <f>calcs!F13</f>
        <v>64</v>
      </c>
      <c r="F23" s="58">
        <f>calcs!G13</f>
        <v>88</v>
      </c>
      <c r="G23" s="58">
        <f>calcs!E13</f>
        <v>152</v>
      </c>
      <c r="H23" s="58"/>
      <c r="I23" s="50"/>
      <c r="J23" s="57" t="str">
        <f>calcs!D35</f>
        <v>Prime Care Medical Center</v>
      </c>
      <c r="K23" s="58">
        <f>calcs!F35</f>
        <v>64</v>
      </c>
      <c r="L23" s="58">
        <f>calcs!G35</f>
        <v>88</v>
      </c>
      <c r="M23" s="58">
        <f>calcs!E35</f>
        <v>152</v>
      </c>
      <c r="N23" s="58"/>
      <c r="O23" s="1"/>
      <c r="P23" s="12"/>
      <c r="Q23" s="86"/>
      <c r="R23" s="87"/>
      <c r="S23" s="12"/>
      <c r="U23" s="76" t="str">
        <f>calcs!R8</f>
        <v>Sabrina Byrd</v>
      </c>
      <c r="V23" s="74">
        <f>calcs!S8</f>
        <v>13</v>
      </c>
      <c r="W23" s="74">
        <f>calcs!T8</f>
        <v>13</v>
      </c>
      <c r="X23" s="74">
        <f>calcs!U8</f>
        <v>22</v>
      </c>
      <c r="Y23" s="74">
        <f>calcs!V8</f>
        <v>13</v>
      </c>
      <c r="Z23" s="74">
        <f>calcs!W8</f>
        <v>12</v>
      </c>
      <c r="AA23" s="74">
        <f>calcs!X8</f>
        <v>16</v>
      </c>
      <c r="AB23" s="74">
        <f>calcs!Y8</f>
        <v>21</v>
      </c>
      <c r="AC23" s="74">
        <f>calcs!Z8</f>
        <v>17</v>
      </c>
      <c r="AD23" s="74">
        <f>calcs!AA8</f>
        <v>15</v>
      </c>
      <c r="AE23" s="74">
        <f>calcs!AB8</f>
        <v>10</v>
      </c>
      <c r="AF23" s="74">
        <f>calcs!AC8</f>
        <v>12</v>
      </c>
      <c r="AG23" s="74">
        <f>calcs!AD8</f>
        <v>19</v>
      </c>
      <c r="AH23" s="74">
        <f>calcs!AE8</f>
        <v>19</v>
      </c>
      <c r="AI23" s="74">
        <f>calcs!AF8</f>
        <v>202</v>
      </c>
    </row>
    <row r="24" spans="1:1023 1030:3066 3073:4092 4099:5118 5125:6144 6151:8187 8194:9213 9220:10239 10246:12282 12289:13308 13315:14334 14341:15360 15367:16376" ht="15.95" customHeight="1" x14ac:dyDescent="0.2">
      <c r="A24" s="1"/>
      <c r="C24" s="1"/>
      <c r="D24" s="57" t="str">
        <f>calcs!D14</f>
        <v>Kelly Smith</v>
      </c>
      <c r="E24" s="58">
        <f>calcs!F14</f>
        <v>79</v>
      </c>
      <c r="F24" s="58">
        <f>calcs!G14</f>
        <v>72</v>
      </c>
      <c r="G24" s="58">
        <f>calcs!E14</f>
        <v>151</v>
      </c>
      <c r="H24" s="58"/>
      <c r="I24" s="50"/>
      <c r="J24" s="57" t="str">
        <f>calcs!D36</f>
        <v>Community Health Center</v>
      </c>
      <c r="K24" s="58">
        <f>calcs!F36</f>
        <v>79</v>
      </c>
      <c r="L24" s="58">
        <f>calcs!G36</f>
        <v>72</v>
      </c>
      <c r="M24" s="58">
        <f>calcs!E36</f>
        <v>151</v>
      </c>
      <c r="N24" s="58"/>
      <c r="O24" s="1"/>
      <c r="P24" s="12"/>
      <c r="Q24" s="90"/>
      <c r="R24" s="91"/>
      <c r="S24" s="28"/>
      <c r="U24" s="76" t="str">
        <f>calcs!R9</f>
        <v>Kelly Smith</v>
      </c>
      <c r="V24" s="74">
        <f>calcs!S9</f>
        <v>13</v>
      </c>
      <c r="W24" s="74">
        <f>calcs!T9</f>
        <v>16</v>
      </c>
      <c r="X24" s="74">
        <f>calcs!U9</f>
        <v>12</v>
      </c>
      <c r="Y24" s="74">
        <f>calcs!V9</f>
        <v>21</v>
      </c>
      <c r="Z24" s="74">
        <f>calcs!W9</f>
        <v>15</v>
      </c>
      <c r="AA24" s="74">
        <f>calcs!X9</f>
        <v>22</v>
      </c>
      <c r="AB24" s="74">
        <f>calcs!Y9</f>
        <v>14</v>
      </c>
      <c r="AC24" s="74">
        <f>calcs!Z9</f>
        <v>11</v>
      </c>
      <c r="AD24" s="74">
        <f>calcs!AA9</f>
        <v>15</v>
      </c>
      <c r="AE24" s="74">
        <f>calcs!AB9</f>
        <v>12</v>
      </c>
      <c r="AF24" s="74">
        <f>calcs!AC9</f>
        <v>14</v>
      </c>
      <c r="AG24" s="74">
        <f>calcs!AD9</f>
        <v>13</v>
      </c>
      <c r="AH24" s="74">
        <f>calcs!AE9</f>
        <v>14</v>
      </c>
      <c r="AI24" s="74">
        <f>calcs!AF9</f>
        <v>192</v>
      </c>
    </row>
    <row r="25" spans="1:1023 1030:3066 3073:4092 4099:5118 5125:6144 6151:8187 8194:9213 9220:10239 10246:12282 12289:13308 13315:14334 14341:15360 15367:16376" ht="15.95" customHeight="1" x14ac:dyDescent="0.2">
      <c r="A25" s="1"/>
      <c r="B25" s="77"/>
      <c r="C25" s="1"/>
      <c r="D25" s="57" t="str">
        <f>calcs!D15</f>
        <v>Jessie Williams</v>
      </c>
      <c r="E25" s="58">
        <f>calcs!F15</f>
        <v>76</v>
      </c>
      <c r="F25" s="58">
        <f>calcs!G15</f>
        <v>74</v>
      </c>
      <c r="G25" s="58">
        <f>calcs!E15</f>
        <v>150</v>
      </c>
      <c r="H25" s="58"/>
      <c r="I25" s="50"/>
      <c r="J25" s="57" t="str">
        <f>calcs!D37</f>
        <v>Emergency Medical Clinic</v>
      </c>
      <c r="K25" s="58">
        <f>calcs!F37</f>
        <v>76</v>
      </c>
      <c r="L25" s="58">
        <f>calcs!G37</f>
        <v>74</v>
      </c>
      <c r="M25" s="58">
        <f>calcs!E37</f>
        <v>150</v>
      </c>
      <c r="N25" s="58"/>
      <c r="O25" s="1"/>
      <c r="P25" s="12"/>
      <c r="Q25" s="90"/>
      <c r="R25" s="91"/>
      <c r="S25" s="30"/>
      <c r="U25" s="76" t="str">
        <f>calcs!R10</f>
        <v>Jessie Williams</v>
      </c>
      <c r="V25" s="74">
        <f>calcs!S10</f>
        <v>18</v>
      </c>
      <c r="W25" s="74">
        <f>calcs!T10</f>
        <v>7</v>
      </c>
      <c r="X25" s="74">
        <f>calcs!U10</f>
        <v>13</v>
      </c>
      <c r="Y25" s="74">
        <f>calcs!V10</f>
        <v>12</v>
      </c>
      <c r="Z25" s="74">
        <f>calcs!W10</f>
        <v>16</v>
      </c>
      <c r="AA25" s="74">
        <f>calcs!X10</f>
        <v>18</v>
      </c>
      <c r="AB25" s="74">
        <f>calcs!Y10</f>
        <v>20</v>
      </c>
      <c r="AC25" s="74">
        <f>calcs!Z10</f>
        <v>15</v>
      </c>
      <c r="AD25" s="74">
        <f>calcs!AA10</f>
        <v>16</v>
      </c>
      <c r="AE25" s="74">
        <f>calcs!AB10</f>
        <v>15</v>
      </c>
      <c r="AF25" s="74">
        <f>calcs!AC10</f>
        <v>12</v>
      </c>
      <c r="AG25" s="74">
        <f>calcs!AD10</f>
        <v>12</v>
      </c>
      <c r="AH25" s="74">
        <f>calcs!AE10</f>
        <v>22</v>
      </c>
      <c r="AI25" s="74">
        <f>calcs!AF10</f>
        <v>196</v>
      </c>
    </row>
    <row r="26" spans="1:1023 1030:3066 3073:4092 4099:5118 5125:6144 6151:8187 8194:9213 9220:10239 10246:12282 12289:13308 13315:14334 14341:15360 15367:16376" ht="15.95" customHeight="1" x14ac:dyDescent="0.2">
      <c r="A26" s="1"/>
      <c r="B26" s="77"/>
      <c r="C26" s="1"/>
      <c r="D26" s="57" t="str">
        <f>calcs!D16</f>
        <v>Larry Brown</v>
      </c>
      <c r="E26" s="58">
        <f>calcs!F16</f>
        <v>68</v>
      </c>
      <c r="F26" s="58">
        <f>calcs!G16</f>
        <v>80</v>
      </c>
      <c r="G26" s="58">
        <f>calcs!E16</f>
        <v>148</v>
      </c>
      <c r="H26" s="58"/>
      <c r="I26" s="50"/>
      <c r="J26" s="57" t="str">
        <f>calcs!D38</f>
        <v>East Georgia Medical Practice</v>
      </c>
      <c r="K26" s="58">
        <f>calcs!F38</f>
        <v>68</v>
      </c>
      <c r="L26" s="58">
        <f>calcs!G38</f>
        <v>80</v>
      </c>
      <c r="M26" s="58">
        <f>calcs!E38</f>
        <v>148</v>
      </c>
      <c r="N26" s="58"/>
      <c r="O26" s="1"/>
      <c r="P26" s="12"/>
      <c r="Q26" s="71"/>
      <c r="R26" s="72"/>
      <c r="S26" s="30"/>
      <c r="U26" s="76" t="str">
        <f>calcs!R11</f>
        <v>Larry Brown</v>
      </c>
      <c r="V26" s="74">
        <f>calcs!S11</f>
        <v>15</v>
      </c>
      <c r="W26" s="74">
        <f>calcs!T11</f>
        <v>14</v>
      </c>
      <c r="X26" s="74">
        <f>calcs!U11</f>
        <v>12</v>
      </c>
      <c r="Y26" s="74">
        <f>calcs!V11</f>
        <v>13</v>
      </c>
      <c r="Z26" s="74">
        <f>calcs!W11</f>
        <v>14</v>
      </c>
      <c r="AA26" s="74">
        <f>calcs!X11</f>
        <v>19</v>
      </c>
      <c r="AB26" s="74">
        <f>calcs!Y11</f>
        <v>15</v>
      </c>
      <c r="AC26" s="74">
        <f>calcs!Z11</f>
        <v>9</v>
      </c>
      <c r="AD26" s="74">
        <f>calcs!AA11</f>
        <v>21</v>
      </c>
      <c r="AE26" s="74">
        <f>calcs!AB11</f>
        <v>16</v>
      </c>
      <c r="AF26" s="74">
        <f>calcs!AC11</f>
        <v>17</v>
      </c>
      <c r="AG26" s="74">
        <f>calcs!AD11</f>
        <v>14</v>
      </c>
      <c r="AH26" s="74">
        <f>calcs!AE11</f>
        <v>13</v>
      </c>
      <c r="AI26" s="74">
        <f>calcs!AF11</f>
        <v>192</v>
      </c>
    </row>
    <row r="27" spans="1:1023 1030:3066 3073:4092 4099:5118 5125:6144 6151:8187 8194:9213 9220:10239 10246:12282 12289:13308 13315:14334 14341:15360 15367:16376" ht="15.95" customHeight="1" x14ac:dyDescent="0.2">
      <c r="A27" s="1"/>
      <c r="B27" s="77"/>
      <c r="C27" s="1"/>
      <c r="D27" s="57" t="str">
        <f>calcs!D17</f>
        <v>Jenny Cameron</v>
      </c>
      <c r="E27" s="58">
        <f>calcs!F17</f>
        <v>79</v>
      </c>
      <c r="F27" s="58">
        <f>calcs!G17</f>
        <v>66</v>
      </c>
      <c r="G27" s="58">
        <f>calcs!E17</f>
        <v>145</v>
      </c>
      <c r="H27" s="58"/>
      <c r="I27" s="50"/>
      <c r="J27" s="57" t="str">
        <f>calcs!D39</f>
        <v>North Georgia Wellness Center</v>
      </c>
      <c r="K27" s="58">
        <f>calcs!F39</f>
        <v>79</v>
      </c>
      <c r="L27" s="58">
        <f>calcs!G39</f>
        <v>66</v>
      </c>
      <c r="M27" s="58">
        <f>calcs!E39</f>
        <v>145</v>
      </c>
      <c r="N27" s="58"/>
      <c r="O27" s="1"/>
      <c r="P27" s="12"/>
      <c r="Q27" s="86"/>
      <c r="R27" s="87"/>
      <c r="S27" s="12"/>
      <c r="U27" s="76" t="str">
        <f>calcs!R12</f>
        <v>Jenny Cameron</v>
      </c>
      <c r="V27" s="74">
        <f>calcs!S12</f>
        <v>11</v>
      </c>
      <c r="W27" s="74">
        <f>calcs!T12</f>
        <v>10</v>
      </c>
      <c r="X27" s="74">
        <f>calcs!U12</f>
        <v>14</v>
      </c>
      <c r="Y27" s="74">
        <f>calcs!V12</f>
        <v>15</v>
      </c>
      <c r="Z27" s="74">
        <f>calcs!W12</f>
        <v>23</v>
      </c>
      <c r="AA27" s="74">
        <f>calcs!X12</f>
        <v>12</v>
      </c>
      <c r="AB27" s="74">
        <f>calcs!Y12</f>
        <v>13</v>
      </c>
      <c r="AC27" s="74">
        <f>calcs!Z12</f>
        <v>14</v>
      </c>
      <c r="AD27" s="74">
        <f>calcs!AA12</f>
        <v>15</v>
      </c>
      <c r="AE27" s="74">
        <f>calcs!AB12</f>
        <v>18</v>
      </c>
      <c r="AF27" s="74">
        <f>calcs!AC12</f>
        <v>16</v>
      </c>
      <c r="AG27" s="74">
        <f>calcs!AD12</f>
        <v>9</v>
      </c>
      <c r="AH27" s="74">
        <f>calcs!AE12</f>
        <v>13</v>
      </c>
      <c r="AI27" s="74">
        <f>calcs!AF12</f>
        <v>183</v>
      </c>
    </row>
    <row r="28" spans="1:1023 1030:3066 3073:4092 4099:5118 5125:6144 6151:8187 8194:9213 9220:10239 10246:12282 12289:13308 13315:14334 14341:15360 15367:16376" ht="15.95" customHeight="1" x14ac:dyDescent="0.2">
      <c r="A28" s="1"/>
      <c r="B28" s="96">
        <f>SUM(G19:G28)/G34</f>
        <v>0.75033437360677668</v>
      </c>
      <c r="C28" s="1"/>
      <c r="D28" s="57" t="str">
        <f>calcs!D18</f>
        <v>Fredrick Johnson</v>
      </c>
      <c r="E28" s="62">
        <f>calcs!F18</f>
        <v>68</v>
      </c>
      <c r="F28" s="62">
        <f>calcs!G18</f>
        <v>76</v>
      </c>
      <c r="G28" s="62">
        <f>calcs!E18</f>
        <v>144</v>
      </c>
      <c r="H28" s="59"/>
      <c r="I28" s="50"/>
      <c r="J28" s="57" t="str">
        <f>calcs!D40</f>
        <v>South Georgia Family Practice</v>
      </c>
      <c r="K28" s="62">
        <f>calcs!F40</f>
        <v>68</v>
      </c>
      <c r="L28" s="62">
        <f>calcs!G40</f>
        <v>76</v>
      </c>
      <c r="M28" s="62">
        <f>calcs!E40</f>
        <v>144</v>
      </c>
      <c r="N28" s="59"/>
      <c r="O28" s="1"/>
      <c r="P28" s="12"/>
      <c r="Q28" s="88"/>
      <c r="R28" s="88"/>
      <c r="S28" s="28"/>
      <c r="U28" s="76" t="str">
        <f>calcs!R13</f>
        <v>Fredrick Johnson</v>
      </c>
      <c r="V28" s="74">
        <f>calcs!S13</f>
        <v>10</v>
      </c>
      <c r="W28" s="74">
        <f>calcs!T13</f>
        <v>12</v>
      </c>
      <c r="X28" s="74">
        <f>calcs!U13</f>
        <v>17</v>
      </c>
      <c r="Y28" s="74">
        <f>calcs!V13</f>
        <v>20</v>
      </c>
      <c r="Z28" s="74">
        <f>calcs!W13</f>
        <v>9</v>
      </c>
      <c r="AA28" s="74">
        <f>calcs!X13</f>
        <v>17</v>
      </c>
      <c r="AB28" s="74">
        <f>calcs!Y13</f>
        <v>8</v>
      </c>
      <c r="AC28" s="74">
        <f>calcs!Z13</f>
        <v>28</v>
      </c>
      <c r="AD28" s="74">
        <f>calcs!AA13</f>
        <v>7</v>
      </c>
      <c r="AE28" s="74">
        <f>calcs!AB13</f>
        <v>16</v>
      </c>
      <c r="AF28" s="74">
        <f>calcs!AC13</f>
        <v>12</v>
      </c>
      <c r="AG28" s="74">
        <f>calcs!AD13</f>
        <v>20</v>
      </c>
      <c r="AH28" s="74">
        <f>calcs!AE13</f>
        <v>17</v>
      </c>
      <c r="AI28" s="74">
        <f>calcs!AF13</f>
        <v>193</v>
      </c>
    </row>
    <row r="29" spans="1:1023 1030:3066 3073:4092 4099:5118 5125:6144 6151:8187 8194:9213 9220:10239 10246:12282 12289:13308 13315:14334 14341:15360 15367:16376" ht="15.95" customHeight="1" x14ac:dyDescent="0.2">
      <c r="A29" s="1"/>
      <c r="B29" s="96"/>
      <c r="C29" s="1"/>
      <c r="D29" s="57" t="str">
        <f>calcs!D19</f>
        <v>John Doe</v>
      </c>
      <c r="E29" s="62">
        <f>calcs!F19</f>
        <v>73</v>
      </c>
      <c r="F29" s="62">
        <f>calcs!G19</f>
        <v>69</v>
      </c>
      <c r="G29" s="62">
        <f>calcs!E19</f>
        <v>142</v>
      </c>
      <c r="H29" s="59"/>
      <c r="I29" s="50"/>
      <c r="J29" s="57" t="str">
        <f>calcs!D41</f>
        <v>Central Georigia Medical Practice</v>
      </c>
      <c r="K29" s="62">
        <f>calcs!F41</f>
        <v>73</v>
      </c>
      <c r="L29" s="62">
        <f>calcs!G41</f>
        <v>69</v>
      </c>
      <c r="M29" s="62">
        <f>calcs!E41</f>
        <v>142</v>
      </c>
      <c r="N29" s="59"/>
      <c r="O29" s="1"/>
      <c r="P29" s="12"/>
      <c r="Q29" s="70"/>
      <c r="R29" s="70"/>
      <c r="S29" s="28"/>
      <c r="U29" s="76" t="str">
        <f>calcs!R14</f>
        <v>John Doe</v>
      </c>
      <c r="V29" s="74">
        <f>calcs!S14</f>
        <v>13</v>
      </c>
      <c r="W29" s="74">
        <f>calcs!T14</f>
        <v>9</v>
      </c>
      <c r="X29" s="74">
        <f>calcs!U14</f>
        <v>11</v>
      </c>
      <c r="Y29" s="74">
        <f>calcs!V14</f>
        <v>15</v>
      </c>
      <c r="Z29" s="74">
        <f>calcs!W14</f>
        <v>14</v>
      </c>
      <c r="AA29" s="74">
        <f>calcs!X14</f>
        <v>15</v>
      </c>
      <c r="AB29" s="74">
        <f>calcs!Y14</f>
        <v>18</v>
      </c>
      <c r="AC29" s="74">
        <f>calcs!Z14</f>
        <v>19</v>
      </c>
      <c r="AD29" s="74">
        <f>calcs!AA14</f>
        <v>14</v>
      </c>
      <c r="AE29" s="74">
        <f>calcs!AB14</f>
        <v>14</v>
      </c>
      <c r="AF29" s="74">
        <f>calcs!AC14</f>
        <v>12</v>
      </c>
      <c r="AG29" s="74">
        <f>calcs!AD14</f>
        <v>6</v>
      </c>
      <c r="AH29" s="74">
        <f>calcs!AE14</f>
        <v>17</v>
      </c>
      <c r="AI29" s="74">
        <f>calcs!AF14</f>
        <v>177</v>
      </c>
    </row>
    <row r="30" spans="1:1023 1030:3066 3073:4092 4099:5118 5125:6144 6151:8187 8194:9213 9220:10239 10246:12282 12289:13308 13315:14334 14341:15360 15367:16376" ht="15.95" customHeight="1" x14ac:dyDescent="0.2">
      <c r="A30" s="1"/>
      <c r="B30" s="96"/>
      <c r="C30" s="1"/>
      <c r="D30" s="57" t="str">
        <f>calcs!D20</f>
        <v>Donald Holmes</v>
      </c>
      <c r="E30" s="62">
        <f>calcs!F20</f>
        <v>72</v>
      </c>
      <c r="F30" s="62">
        <f>calcs!G20</f>
        <v>65</v>
      </c>
      <c r="G30" s="62">
        <f>calcs!E20</f>
        <v>137</v>
      </c>
      <c r="H30" s="59"/>
      <c r="I30" s="50"/>
      <c r="J30" s="57" t="str">
        <f>calcs!D42</f>
        <v>Georgia Medical Partners</v>
      </c>
      <c r="K30" s="62">
        <f>calcs!F42</f>
        <v>72</v>
      </c>
      <c r="L30" s="62">
        <f>calcs!G42</f>
        <v>65</v>
      </c>
      <c r="M30" s="62">
        <f>calcs!E42</f>
        <v>137</v>
      </c>
      <c r="N30" s="59"/>
      <c r="O30" s="1"/>
      <c r="P30" s="12"/>
      <c r="Q30" s="70"/>
      <c r="R30" s="70"/>
      <c r="S30" s="28"/>
      <c r="U30" s="76" t="str">
        <f>calcs!R15</f>
        <v>Donald Holmes</v>
      </c>
      <c r="V30" s="74">
        <f>calcs!S15</f>
        <v>17</v>
      </c>
      <c r="W30" s="74">
        <f>calcs!T15</f>
        <v>8</v>
      </c>
      <c r="X30" s="74">
        <f>calcs!U15</f>
        <v>11</v>
      </c>
      <c r="Y30" s="74">
        <f>calcs!V15</f>
        <v>21</v>
      </c>
      <c r="Z30" s="74">
        <f>calcs!W15</f>
        <v>16</v>
      </c>
      <c r="AA30" s="74">
        <f>calcs!X15</f>
        <v>16</v>
      </c>
      <c r="AB30" s="74">
        <f>calcs!Y15</f>
        <v>6</v>
      </c>
      <c r="AC30" s="74">
        <f>calcs!Z15</f>
        <v>13</v>
      </c>
      <c r="AD30" s="74">
        <f>calcs!AA15</f>
        <v>12</v>
      </c>
      <c r="AE30" s="74">
        <f>calcs!AB15</f>
        <v>17</v>
      </c>
      <c r="AF30" s="74">
        <f>calcs!AC15</f>
        <v>17</v>
      </c>
      <c r="AG30" s="74">
        <f>calcs!AD15</f>
        <v>19</v>
      </c>
      <c r="AH30" s="74">
        <f>calcs!AE15</f>
        <v>16</v>
      </c>
      <c r="AI30" s="74">
        <f>calcs!AF15</f>
        <v>189</v>
      </c>
    </row>
    <row r="31" spans="1:1023 1030:3066 3073:4092 4099:5118 5125:6144 6151:8187 8194:9213 9220:10239 10246:12282 12289:13308 13315:14334 14341:15360 15367:16376" ht="15.95" customHeight="1" x14ac:dyDescent="0.2">
      <c r="A31" s="1"/>
      <c r="B31" s="95" t="s">
        <v>25</v>
      </c>
      <c r="C31" s="1"/>
      <c r="D31" s="57" t="str">
        <f>calcs!D21</f>
        <v>Martha Thompson</v>
      </c>
      <c r="E31" s="62">
        <f>calcs!F21</f>
        <v>72</v>
      </c>
      <c r="F31" s="62">
        <f>calcs!G21</f>
        <v>65</v>
      </c>
      <c r="G31" s="62">
        <f>calcs!E21</f>
        <v>137</v>
      </c>
      <c r="H31" s="59"/>
      <c r="I31" s="50"/>
      <c r="J31" s="57" t="str">
        <f>calcs!D43</f>
        <v>Family Medical Practice</v>
      </c>
      <c r="K31" s="62">
        <f>calcs!F43</f>
        <v>72</v>
      </c>
      <c r="L31" s="62">
        <f>calcs!G43</f>
        <v>65</v>
      </c>
      <c r="M31" s="62">
        <f>calcs!E43</f>
        <v>137</v>
      </c>
      <c r="N31" s="59"/>
      <c r="O31" s="1"/>
      <c r="P31" s="12"/>
      <c r="Q31" s="70"/>
      <c r="R31" s="70"/>
      <c r="S31" s="28"/>
      <c r="U31" s="76" t="str">
        <f>calcs!R16</f>
        <v>Martha Thompson</v>
      </c>
      <c r="V31" s="74">
        <f>calcs!S16</f>
        <v>17</v>
      </c>
      <c r="W31" s="74">
        <f>calcs!T16</f>
        <v>8</v>
      </c>
      <c r="X31" s="74">
        <f>calcs!U16</f>
        <v>17</v>
      </c>
      <c r="Y31" s="74">
        <f>calcs!V16</f>
        <v>15</v>
      </c>
      <c r="Z31" s="74">
        <f>calcs!W16</f>
        <v>8</v>
      </c>
      <c r="AA31" s="74">
        <f>calcs!X16</f>
        <v>14</v>
      </c>
      <c r="AB31" s="74">
        <f>calcs!Y16</f>
        <v>14</v>
      </c>
      <c r="AC31" s="74">
        <f>calcs!Z16</f>
        <v>12</v>
      </c>
      <c r="AD31" s="74">
        <f>calcs!AA16</f>
        <v>14</v>
      </c>
      <c r="AE31" s="74">
        <f>calcs!AB16</f>
        <v>18</v>
      </c>
      <c r="AF31" s="74">
        <f>calcs!AC16</f>
        <v>14</v>
      </c>
      <c r="AG31" s="74">
        <f>calcs!AD16</f>
        <v>20</v>
      </c>
      <c r="AH31" s="74">
        <f>calcs!AE16</f>
        <v>19</v>
      </c>
      <c r="AI31" s="74">
        <f>calcs!AF16</f>
        <v>190</v>
      </c>
    </row>
    <row r="32" spans="1:1023 1030:3066 3073:4092 4099:5118 5125:6144 6151:8187 8194:9213 9220:10239 10246:12282 12289:13308 13315:14334 14341:15360 15367:16376" ht="15.95" customHeight="1" x14ac:dyDescent="0.2">
      <c r="A32" s="1"/>
      <c r="B32" s="95"/>
      <c r="C32" s="1"/>
      <c r="D32" s="57" t="str">
        <f>calcs!D22</f>
        <v>Maria Jacobson</v>
      </c>
      <c r="E32" s="62">
        <f>calcs!F22</f>
        <v>55</v>
      </c>
      <c r="F32" s="62">
        <f>calcs!G22</f>
        <v>74</v>
      </c>
      <c r="G32" s="62">
        <f>calcs!E22</f>
        <v>129</v>
      </c>
      <c r="H32" s="59"/>
      <c r="I32" s="50"/>
      <c r="J32" s="57" t="str">
        <f>calcs!D44</f>
        <v>Georgia Medical Clinic</v>
      </c>
      <c r="K32" s="62">
        <f>calcs!F44</f>
        <v>55</v>
      </c>
      <c r="L32" s="62">
        <f>calcs!G44</f>
        <v>74</v>
      </c>
      <c r="M32" s="62">
        <f>calcs!E44</f>
        <v>129</v>
      </c>
      <c r="N32" s="59"/>
      <c r="O32" s="1"/>
      <c r="P32" s="12"/>
      <c r="Q32" s="70"/>
      <c r="R32" s="70"/>
      <c r="S32" s="28"/>
      <c r="U32" s="76" t="str">
        <f>calcs!R17</f>
        <v>Maria Jacobson</v>
      </c>
      <c r="V32" s="74">
        <f>calcs!S17</f>
        <v>15</v>
      </c>
      <c r="W32" s="74">
        <f>calcs!T17</f>
        <v>4</v>
      </c>
      <c r="X32" s="74">
        <f>calcs!U17</f>
        <v>14</v>
      </c>
      <c r="Y32" s="74">
        <f>calcs!V17</f>
        <v>10</v>
      </c>
      <c r="Z32" s="74">
        <f>calcs!W17</f>
        <v>13</v>
      </c>
      <c r="AA32" s="74">
        <f>calcs!X17</f>
        <v>16</v>
      </c>
      <c r="AB32" s="74">
        <f>calcs!Y17</f>
        <v>18</v>
      </c>
      <c r="AC32" s="74">
        <f>calcs!Z17</f>
        <v>10</v>
      </c>
      <c r="AD32" s="74">
        <f>calcs!AA17</f>
        <v>20</v>
      </c>
      <c r="AE32" s="74">
        <f>calcs!AB17</f>
        <v>9</v>
      </c>
      <c r="AF32" s="74">
        <f>calcs!AC17</f>
        <v>21</v>
      </c>
      <c r="AG32" s="74">
        <f>calcs!AD17</f>
        <v>19</v>
      </c>
      <c r="AH32" s="74">
        <f>calcs!AE17</f>
        <v>12</v>
      </c>
      <c r="AI32" s="74">
        <f>calcs!AF17</f>
        <v>181</v>
      </c>
    </row>
    <row r="33" spans="1:35" ht="15.95" customHeight="1" x14ac:dyDescent="0.2">
      <c r="A33" s="1"/>
      <c r="B33" s="95"/>
      <c r="C33" s="1"/>
      <c r="D33" s="57" t="str">
        <f>calcs!D23</f>
        <v>Frank Fredson</v>
      </c>
      <c r="E33" s="62">
        <f>calcs!F23</f>
        <v>8</v>
      </c>
      <c r="F33" s="62">
        <f>calcs!G23</f>
        <v>7</v>
      </c>
      <c r="G33" s="62">
        <f>calcs!E23</f>
        <v>15</v>
      </c>
      <c r="H33" s="59"/>
      <c r="I33" s="50"/>
      <c r="J33" s="57" t="str">
        <f>calcs!D45</f>
        <v>Georgia Healthcare Center</v>
      </c>
      <c r="K33" s="62">
        <f>calcs!F45</f>
        <v>8</v>
      </c>
      <c r="L33" s="62">
        <f>calcs!G45</f>
        <v>7</v>
      </c>
      <c r="M33" s="62">
        <f>calcs!E45</f>
        <v>15</v>
      </c>
      <c r="N33" s="59"/>
      <c r="O33" s="1"/>
      <c r="P33" s="12"/>
      <c r="Q33" s="70"/>
      <c r="R33" s="70"/>
      <c r="S33" s="28"/>
      <c r="U33" s="76" t="str">
        <f>calcs!R18</f>
        <v>Frank Fredson</v>
      </c>
      <c r="V33" s="74">
        <f>calcs!S18</f>
        <v>1</v>
      </c>
      <c r="W33" s="74">
        <f>calcs!T18</f>
        <v>3</v>
      </c>
      <c r="X33" s="74">
        <f>calcs!U18</f>
        <v>2</v>
      </c>
      <c r="Y33" s="74">
        <f>calcs!V18</f>
        <v>2</v>
      </c>
      <c r="Z33" s="74">
        <f>calcs!W18</f>
        <v>1</v>
      </c>
      <c r="AA33" s="74">
        <f>calcs!X18</f>
        <v>1</v>
      </c>
      <c r="AB33" s="74">
        <f>calcs!Y18</f>
        <v>2</v>
      </c>
      <c r="AC33" s="74">
        <f>calcs!Z18</f>
        <v>2</v>
      </c>
      <c r="AD33" s="74">
        <f>calcs!AA18</f>
        <v>0</v>
      </c>
      <c r="AE33" s="74">
        <f>calcs!AB18</f>
        <v>1</v>
      </c>
      <c r="AF33" s="74">
        <f>calcs!AC18</f>
        <v>0</v>
      </c>
      <c r="AG33" s="74">
        <f>calcs!AD18</f>
        <v>1</v>
      </c>
      <c r="AH33" s="74">
        <f>calcs!AE18</f>
        <v>7</v>
      </c>
      <c r="AI33" s="74">
        <f>calcs!AF18</f>
        <v>23</v>
      </c>
    </row>
    <row r="34" spans="1:35" ht="15.95" customHeight="1" x14ac:dyDescent="0.2">
      <c r="A34" s="1"/>
      <c r="B34" s="95"/>
      <c r="C34" s="1"/>
      <c r="D34" s="54" t="s">
        <v>0</v>
      </c>
      <c r="E34" s="60">
        <f>SUM(E18:E33)</f>
        <v>1113</v>
      </c>
      <c r="F34" s="60">
        <f>SUM(F18:F33)</f>
        <v>1130</v>
      </c>
      <c r="G34" s="60">
        <f>SUM(G18:G33)</f>
        <v>2243</v>
      </c>
      <c r="H34" s="60"/>
      <c r="I34" s="51">
        <f>SUM(F18:I28)</f>
        <v>2533</v>
      </c>
      <c r="J34" s="54" t="s">
        <v>0</v>
      </c>
      <c r="K34" s="60">
        <f>E34</f>
        <v>1113</v>
      </c>
      <c r="L34" s="60">
        <f>F34</f>
        <v>1130</v>
      </c>
      <c r="M34" s="60">
        <f>G34</f>
        <v>2243</v>
      </c>
      <c r="N34" s="60"/>
      <c r="O34" s="1"/>
      <c r="P34" s="12"/>
      <c r="Q34" s="89"/>
      <c r="R34" s="89"/>
      <c r="S34" s="31"/>
      <c r="U34"/>
      <c r="V34"/>
      <c r="W34"/>
      <c r="X34"/>
      <c r="Y34"/>
    </row>
    <row r="35" spans="1:35" ht="6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35" ht="24" customHeight="1" x14ac:dyDescent="0.2">
      <c r="A36" s="1"/>
      <c r="B36" s="53"/>
      <c r="C36" s="1"/>
      <c r="D36" s="85" t="s">
        <v>31</v>
      </c>
      <c r="E36" s="85"/>
      <c r="F36" s="85"/>
      <c r="G36" s="85"/>
      <c r="H36" s="85"/>
      <c r="I36" s="8"/>
      <c r="J36" s="85" t="s">
        <v>7</v>
      </c>
      <c r="K36" s="85"/>
      <c r="L36" s="85"/>
      <c r="M36" s="85"/>
      <c r="N36" s="85"/>
      <c r="O36" s="85"/>
      <c r="P36" s="85"/>
      <c r="Q36" s="85"/>
      <c r="R36" s="85"/>
      <c r="S36" s="85"/>
      <c r="T36" s="9"/>
    </row>
    <row r="37" spans="1:35" ht="18" customHeight="1" x14ac:dyDescent="0.2">
      <c r="A37" s="1"/>
      <c r="B37" s="93">
        <f>'Data Staging Lag'!Q17</f>
        <v>16.784615384615385</v>
      </c>
      <c r="C37" s="1"/>
      <c r="D37" s="32"/>
      <c r="E37" s="32"/>
      <c r="F37" s="12"/>
      <c r="G37" s="33"/>
      <c r="H37" s="33"/>
      <c r="I37" s="1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34"/>
    </row>
    <row r="38" spans="1:35" ht="21" customHeight="1" x14ac:dyDescent="0.2">
      <c r="A38" s="1"/>
      <c r="B38" s="93"/>
      <c r="C38" s="1"/>
      <c r="D38" s="12"/>
      <c r="E38" s="12"/>
      <c r="F38" s="12"/>
      <c r="G38" s="83"/>
      <c r="H38" s="33"/>
      <c r="I38" s="1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35" ht="18" customHeight="1" x14ac:dyDescent="0.2">
      <c r="A39" s="1"/>
      <c r="B39" s="94" t="s">
        <v>26</v>
      </c>
      <c r="C39" s="1"/>
      <c r="D39" s="12"/>
      <c r="E39" s="12"/>
      <c r="F39" s="12"/>
      <c r="G39" s="83"/>
      <c r="H39" s="33"/>
      <c r="I39" s="1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35"/>
    </row>
    <row r="40" spans="1:35" ht="18" customHeight="1" x14ac:dyDescent="0.2">
      <c r="A40" s="1"/>
      <c r="B40" s="94"/>
      <c r="C40" s="1"/>
      <c r="D40" s="36"/>
      <c r="E40" s="36"/>
      <c r="F40" s="12"/>
      <c r="G40" s="83"/>
      <c r="H40" s="33"/>
      <c r="I40" s="1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37"/>
    </row>
    <row r="41" spans="1:35" ht="18" customHeight="1" x14ac:dyDescent="0.2">
      <c r="A41" s="1"/>
      <c r="B41" s="81" t="s">
        <v>19</v>
      </c>
      <c r="C41" s="1"/>
      <c r="D41" s="12"/>
      <c r="E41" s="12"/>
      <c r="F41" s="12"/>
      <c r="G41" s="83"/>
      <c r="H41" s="33"/>
      <c r="I41" s="1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35" ht="30.75" customHeight="1" x14ac:dyDescent="0.2">
      <c r="A42" s="1"/>
      <c r="B42" s="81"/>
      <c r="C42" s="1"/>
      <c r="D42" s="12"/>
      <c r="E42" s="12"/>
      <c r="F42" s="12"/>
      <c r="G42" s="83"/>
      <c r="H42" s="33"/>
      <c r="I42" s="1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35"/>
    </row>
    <row r="43" spans="1:35" ht="18" customHeight="1" x14ac:dyDescent="0.2">
      <c r="A43" s="1"/>
      <c r="B43" s="82" t="s">
        <v>23</v>
      </c>
      <c r="C43" s="1"/>
      <c r="D43" s="12"/>
      <c r="E43" s="12"/>
      <c r="F43" s="12"/>
      <c r="G43" s="83"/>
      <c r="H43" s="33"/>
      <c r="I43" s="1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38"/>
    </row>
    <row r="44" spans="1:35" ht="18" customHeight="1" x14ac:dyDescent="0.2">
      <c r="A44" s="1"/>
      <c r="B44" s="82"/>
      <c r="C44" s="1"/>
      <c r="D44" s="12"/>
      <c r="E44" s="12"/>
      <c r="F44" s="12"/>
      <c r="G44" s="83"/>
      <c r="H44" s="33"/>
      <c r="I44" s="1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35" s="41" customFormat="1" ht="18" customHeight="1" x14ac:dyDescent="0.2">
      <c r="A45" s="1"/>
      <c r="B45" s="82"/>
      <c r="C45" s="39"/>
      <c r="D45" s="40"/>
      <c r="E45" s="40"/>
      <c r="F45" s="40"/>
      <c r="G45" s="83"/>
      <c r="H45" s="33"/>
      <c r="I45" s="1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"/>
    </row>
    <row r="46" spans="1:35" s="43" customFormat="1" ht="18" customHeight="1" x14ac:dyDescent="0.2">
      <c r="A46" s="1"/>
      <c r="B46" s="1"/>
      <c r="C46" s="1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</row>
    <row r="47" spans="1:35" ht="18" customHeight="1" x14ac:dyDescent="0.2">
      <c r="A47" s="1"/>
      <c r="B47" s="1"/>
      <c r="C47" s="1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 s="1"/>
    </row>
    <row r="48" spans="1:35" ht="18" customHeight="1" x14ac:dyDescent="0.2">
      <c r="A48" s="1"/>
      <c r="B48" s="1"/>
      <c r="C48" s="1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 s="1"/>
    </row>
    <row r="49" spans="1:19" ht="18" customHeight="1" x14ac:dyDescent="0.2">
      <c r="A49" s="1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 s="1"/>
    </row>
    <row r="50" spans="1:19" ht="18" customHeight="1" x14ac:dyDescent="0.2">
      <c r="A50" s="1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 s="1"/>
    </row>
    <row r="51" spans="1:19" ht="18" customHeight="1" x14ac:dyDescent="0.2">
      <c r="A51" s="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 s="1"/>
    </row>
    <row r="52" spans="1:19" x14ac:dyDescent="0.2">
      <c r="A52" s="1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 s="1"/>
    </row>
    <row r="53" spans="1:19" x14ac:dyDescent="0.2">
      <c r="A53" s="1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 s="1"/>
    </row>
    <row r="54" spans="1:19" x14ac:dyDescent="0.2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 s="1"/>
    </row>
    <row r="55" spans="1:19" x14ac:dyDescent="0.2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 s="1"/>
    </row>
    <row r="56" spans="1:19" x14ac:dyDescent="0.2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 s="1"/>
    </row>
    <row r="57" spans="1:19" x14ac:dyDescent="0.2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 s="1"/>
    </row>
    <row r="58" spans="1:19" x14ac:dyDescent="0.2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9" x14ac:dyDescent="0.2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9" x14ac:dyDescent="0.2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9" x14ac:dyDescent="0.2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9" x14ac:dyDescent="0.2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9" x14ac:dyDescent="0.2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9" x14ac:dyDescent="0.2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2:28" x14ac:dyDescent="0.2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2:28" x14ac:dyDescent="0.2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2:28" x14ac:dyDescent="0.2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2:28" x14ac:dyDescent="0.2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2:28" x14ac:dyDescent="0.2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U69" s="3"/>
      <c r="V69" s="3"/>
    </row>
    <row r="70" spans="2:28" x14ac:dyDescent="0.2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U70" s="3"/>
      <c r="V70" s="3"/>
    </row>
    <row r="71" spans="2:28" x14ac:dyDescent="0.2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2:28" x14ac:dyDescent="0.2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2:28" x14ac:dyDescent="0.2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2:28" x14ac:dyDescent="0.2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2:28" x14ac:dyDescent="0.2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9" spans="2:28" x14ac:dyDescent="0.2">
      <c r="W79" s="44"/>
      <c r="X79" s="44"/>
      <c r="Y79" s="44"/>
      <c r="Z79" s="44"/>
      <c r="AA79" s="44"/>
      <c r="AB79" s="44"/>
    </row>
    <row r="89" spans="16:21" x14ac:dyDescent="0.2">
      <c r="U89" s="3"/>
    </row>
    <row r="90" spans="16:21" ht="14.25" x14ac:dyDescent="0.2">
      <c r="P90" s="45"/>
      <c r="Q90" s="45"/>
      <c r="R90" s="45"/>
      <c r="S90" s="45"/>
      <c r="T90" s="46"/>
      <c r="U90" s="3"/>
    </row>
    <row r="91" spans="16:21" ht="14.25" x14ac:dyDescent="0.2">
      <c r="P91" s="45"/>
      <c r="Q91" s="45"/>
      <c r="R91" s="45"/>
      <c r="S91" s="45"/>
      <c r="T91" s="46"/>
      <c r="U91" s="3"/>
    </row>
    <row r="92" spans="16:21" ht="14.25" x14ac:dyDescent="0.2">
      <c r="P92" s="45"/>
      <c r="Q92" s="45"/>
      <c r="R92" s="45"/>
      <c r="S92" s="45"/>
      <c r="T92" s="46"/>
      <c r="U92" s="3"/>
    </row>
    <row r="93" spans="16:21" ht="14.25" x14ac:dyDescent="0.2">
      <c r="P93" s="45"/>
      <c r="Q93" s="45"/>
      <c r="R93" s="45"/>
      <c r="S93" s="45"/>
      <c r="T93" s="46"/>
      <c r="U93" s="3"/>
    </row>
    <row r="94" spans="16:21" ht="14.25" x14ac:dyDescent="0.2">
      <c r="P94" s="45"/>
      <c r="Q94" s="45"/>
      <c r="R94" s="45"/>
      <c r="S94" s="45"/>
      <c r="T94" s="46"/>
      <c r="U94" s="3"/>
    </row>
    <row r="95" spans="16:21" ht="14.25" x14ac:dyDescent="0.2">
      <c r="P95" s="45"/>
      <c r="Q95" s="45"/>
      <c r="R95" s="45"/>
      <c r="S95" s="45"/>
      <c r="T95" s="46"/>
      <c r="U95" s="3"/>
    </row>
    <row r="96" spans="16:21" ht="14.25" x14ac:dyDescent="0.2">
      <c r="P96" s="45"/>
      <c r="Q96" s="45"/>
      <c r="R96" s="45"/>
      <c r="S96" s="45"/>
      <c r="T96" s="46"/>
      <c r="U96" s="3"/>
    </row>
    <row r="97" spans="16:21" ht="14.25" x14ac:dyDescent="0.2">
      <c r="P97" s="45"/>
      <c r="Q97" s="45"/>
      <c r="R97" s="45"/>
      <c r="S97" s="45"/>
      <c r="T97" s="46"/>
      <c r="U97" s="3"/>
    </row>
    <row r="98" spans="16:21" ht="14.25" x14ac:dyDescent="0.2">
      <c r="P98" s="45"/>
      <c r="Q98" s="45"/>
      <c r="R98" s="45"/>
      <c r="S98" s="45"/>
      <c r="T98" s="46"/>
      <c r="U98" s="3"/>
    </row>
    <row r="99" spans="16:21" ht="14.25" x14ac:dyDescent="0.2">
      <c r="P99" s="45"/>
      <c r="Q99" s="45"/>
      <c r="R99" s="45"/>
      <c r="S99" s="45"/>
      <c r="T99" s="46"/>
      <c r="U99" s="3"/>
    </row>
    <row r="100" spans="16:21" ht="15" x14ac:dyDescent="0.2">
      <c r="P100" s="84"/>
      <c r="Q100" s="84"/>
      <c r="R100" s="84"/>
      <c r="S100" s="84"/>
      <c r="T100" s="47"/>
      <c r="U100" s="3"/>
    </row>
  </sheetData>
  <sortState xmlns:xlrd2="http://schemas.microsoft.com/office/spreadsheetml/2017/richdata2" ref="J19:M28">
    <sortCondition ref="J19:J28"/>
  </sortState>
  <mergeCells count="1855">
    <mergeCell ref="B16:B17"/>
    <mergeCell ref="B22:B23"/>
    <mergeCell ref="B2:S2"/>
    <mergeCell ref="DZ17:EA17"/>
    <mergeCell ref="EI17:EJ17"/>
    <mergeCell ref="ER17:ES17"/>
    <mergeCell ref="FA17:FB17"/>
    <mergeCell ref="FJ17:FK17"/>
    <mergeCell ref="FS17:FT17"/>
    <mergeCell ref="BX17:BY17"/>
    <mergeCell ref="CG17:CH17"/>
    <mergeCell ref="CP17:CQ17"/>
    <mergeCell ref="CY17:CZ17"/>
    <mergeCell ref="DH17:DI17"/>
    <mergeCell ref="DQ17:DR17"/>
    <mergeCell ref="E12:F12"/>
    <mergeCell ref="AW17:AX17"/>
    <mergeCell ref="BF17:BG17"/>
    <mergeCell ref="BO17:BP17"/>
    <mergeCell ref="P4:S4"/>
    <mergeCell ref="P5:S6"/>
    <mergeCell ref="J9:J11"/>
    <mergeCell ref="D16:H16"/>
    <mergeCell ref="J16:N16"/>
    <mergeCell ref="D4:H4"/>
    <mergeCell ref="J4:N4"/>
    <mergeCell ref="B4:B5"/>
    <mergeCell ref="B6:B7"/>
    <mergeCell ref="B8:B9"/>
    <mergeCell ref="B10:B11"/>
    <mergeCell ref="B12:B13"/>
    <mergeCell ref="U16:AI16"/>
    <mergeCell ref="U9:AI12"/>
    <mergeCell ref="KF17:KG17"/>
    <mergeCell ref="KO17:KP17"/>
    <mergeCell ref="KX17:KY17"/>
    <mergeCell ref="LG17:LH17"/>
    <mergeCell ref="LP17:LQ17"/>
    <mergeCell ref="LY17:LZ17"/>
    <mergeCell ref="ID17:IE17"/>
    <mergeCell ref="IM17:IN17"/>
    <mergeCell ref="IV17:IW17"/>
    <mergeCell ref="JE17:JF17"/>
    <mergeCell ref="JN17:JO17"/>
    <mergeCell ref="JW17:JX17"/>
    <mergeCell ref="GB17:GC17"/>
    <mergeCell ref="GK17:GL17"/>
    <mergeCell ref="GT17:GU17"/>
    <mergeCell ref="HC17:HD17"/>
    <mergeCell ref="HL17:HM17"/>
    <mergeCell ref="HU17:HV17"/>
    <mergeCell ref="QL17:QM17"/>
    <mergeCell ref="QU17:QV17"/>
    <mergeCell ref="RD17:RE17"/>
    <mergeCell ref="RM17:RN17"/>
    <mergeCell ref="RV17:RW17"/>
    <mergeCell ref="SE17:SF17"/>
    <mergeCell ref="OJ17:OK17"/>
    <mergeCell ref="OS17:OT17"/>
    <mergeCell ref="PB17:PC17"/>
    <mergeCell ref="PK17:PL17"/>
    <mergeCell ref="PT17:PU17"/>
    <mergeCell ref="QC17:QD17"/>
    <mergeCell ref="MH17:MI17"/>
    <mergeCell ref="MQ17:MR17"/>
    <mergeCell ref="MZ17:NA17"/>
    <mergeCell ref="NI17:NJ17"/>
    <mergeCell ref="NR17:NS17"/>
    <mergeCell ref="OA17:OB17"/>
    <mergeCell ref="WR17:WS17"/>
    <mergeCell ref="XA17:XB17"/>
    <mergeCell ref="XJ17:XK17"/>
    <mergeCell ref="XS17:XT17"/>
    <mergeCell ref="YB17:YC17"/>
    <mergeCell ref="YK17:YL17"/>
    <mergeCell ref="UP17:UQ17"/>
    <mergeCell ref="UY17:UZ17"/>
    <mergeCell ref="VH17:VI17"/>
    <mergeCell ref="VQ17:VR17"/>
    <mergeCell ref="VZ17:WA17"/>
    <mergeCell ref="WI17:WJ17"/>
    <mergeCell ref="SN17:SO17"/>
    <mergeCell ref="SW17:SX17"/>
    <mergeCell ref="TF17:TG17"/>
    <mergeCell ref="TO17:TP17"/>
    <mergeCell ref="TX17:TY17"/>
    <mergeCell ref="UG17:UH17"/>
    <mergeCell ref="ACX17:ACY17"/>
    <mergeCell ref="ADG17:ADH17"/>
    <mergeCell ref="ADP17:ADQ17"/>
    <mergeCell ref="ADY17:ADZ17"/>
    <mergeCell ref="AEH17:AEI17"/>
    <mergeCell ref="AEQ17:AER17"/>
    <mergeCell ref="AAV17:AAW17"/>
    <mergeCell ref="ABE17:ABF17"/>
    <mergeCell ref="ABN17:ABO17"/>
    <mergeCell ref="ABW17:ABX17"/>
    <mergeCell ref="ACF17:ACG17"/>
    <mergeCell ref="ACO17:ACP17"/>
    <mergeCell ref="YT17:YU17"/>
    <mergeCell ref="ZC17:ZD17"/>
    <mergeCell ref="ZL17:ZM17"/>
    <mergeCell ref="ZU17:ZV17"/>
    <mergeCell ref="AAD17:AAE17"/>
    <mergeCell ref="AAM17:AAN17"/>
    <mergeCell ref="AJD17:AJE17"/>
    <mergeCell ref="AJM17:AJN17"/>
    <mergeCell ref="AJV17:AJW17"/>
    <mergeCell ref="AKE17:AKF17"/>
    <mergeCell ref="AKN17:AKO17"/>
    <mergeCell ref="AKW17:AKX17"/>
    <mergeCell ref="AHB17:AHC17"/>
    <mergeCell ref="AHK17:AHL17"/>
    <mergeCell ref="AHT17:AHU17"/>
    <mergeCell ref="AIC17:AID17"/>
    <mergeCell ref="AIL17:AIM17"/>
    <mergeCell ref="AIU17:AIV17"/>
    <mergeCell ref="AEZ17:AFA17"/>
    <mergeCell ref="AFI17:AFJ17"/>
    <mergeCell ref="AFR17:AFS17"/>
    <mergeCell ref="AGA17:AGB17"/>
    <mergeCell ref="AGJ17:AGK17"/>
    <mergeCell ref="AGS17:AGT17"/>
    <mergeCell ref="APJ17:APK17"/>
    <mergeCell ref="APS17:APT17"/>
    <mergeCell ref="AQB17:AQC17"/>
    <mergeCell ref="AQK17:AQL17"/>
    <mergeCell ref="AQT17:AQU17"/>
    <mergeCell ref="ARC17:ARD17"/>
    <mergeCell ref="ANH17:ANI17"/>
    <mergeCell ref="ANQ17:ANR17"/>
    <mergeCell ref="ANZ17:AOA17"/>
    <mergeCell ref="AOI17:AOJ17"/>
    <mergeCell ref="AOR17:AOS17"/>
    <mergeCell ref="APA17:APB17"/>
    <mergeCell ref="ALF17:ALG17"/>
    <mergeCell ref="ALO17:ALP17"/>
    <mergeCell ref="ALX17:ALY17"/>
    <mergeCell ref="AMG17:AMH17"/>
    <mergeCell ref="AMP17:AMQ17"/>
    <mergeCell ref="AMY17:AMZ17"/>
    <mergeCell ref="AVP17:AVQ17"/>
    <mergeCell ref="AVY17:AVZ17"/>
    <mergeCell ref="AWH17:AWI17"/>
    <mergeCell ref="AWQ17:AWR17"/>
    <mergeCell ref="AWZ17:AXA17"/>
    <mergeCell ref="AXI17:AXJ17"/>
    <mergeCell ref="ATN17:ATO17"/>
    <mergeCell ref="ATW17:ATX17"/>
    <mergeCell ref="AUF17:AUG17"/>
    <mergeCell ref="AUO17:AUP17"/>
    <mergeCell ref="AUX17:AUY17"/>
    <mergeCell ref="AVG17:AVH17"/>
    <mergeCell ref="ARL17:ARM17"/>
    <mergeCell ref="ARU17:ARV17"/>
    <mergeCell ref="ASD17:ASE17"/>
    <mergeCell ref="ASM17:ASN17"/>
    <mergeCell ref="ASV17:ASW17"/>
    <mergeCell ref="ATE17:ATF17"/>
    <mergeCell ref="BBV17:BBW17"/>
    <mergeCell ref="BCE17:BCF17"/>
    <mergeCell ref="BCN17:BCO17"/>
    <mergeCell ref="BCW17:BCX17"/>
    <mergeCell ref="BDF17:BDG17"/>
    <mergeCell ref="BDO17:BDP17"/>
    <mergeCell ref="AZT17:AZU17"/>
    <mergeCell ref="BAC17:BAD17"/>
    <mergeCell ref="BAL17:BAM17"/>
    <mergeCell ref="BAU17:BAV17"/>
    <mergeCell ref="BBD17:BBE17"/>
    <mergeCell ref="BBM17:BBN17"/>
    <mergeCell ref="AXR17:AXS17"/>
    <mergeCell ref="AYA17:AYB17"/>
    <mergeCell ref="AYJ17:AYK17"/>
    <mergeCell ref="AYS17:AYT17"/>
    <mergeCell ref="AZB17:AZC17"/>
    <mergeCell ref="AZK17:AZL17"/>
    <mergeCell ref="BIB17:BIC17"/>
    <mergeCell ref="BIK17:BIL17"/>
    <mergeCell ref="BIT17:BIU17"/>
    <mergeCell ref="BJC17:BJD17"/>
    <mergeCell ref="BJL17:BJM17"/>
    <mergeCell ref="BJU17:BJV17"/>
    <mergeCell ref="BFZ17:BGA17"/>
    <mergeCell ref="BGI17:BGJ17"/>
    <mergeCell ref="BGR17:BGS17"/>
    <mergeCell ref="BHA17:BHB17"/>
    <mergeCell ref="BHJ17:BHK17"/>
    <mergeCell ref="BHS17:BHT17"/>
    <mergeCell ref="BDX17:BDY17"/>
    <mergeCell ref="BEG17:BEH17"/>
    <mergeCell ref="BEP17:BEQ17"/>
    <mergeCell ref="BEY17:BEZ17"/>
    <mergeCell ref="BFH17:BFI17"/>
    <mergeCell ref="BFQ17:BFR17"/>
    <mergeCell ref="BOH17:BOI17"/>
    <mergeCell ref="BOQ17:BOR17"/>
    <mergeCell ref="BOZ17:BPA17"/>
    <mergeCell ref="BPI17:BPJ17"/>
    <mergeCell ref="BPR17:BPS17"/>
    <mergeCell ref="BQA17:BQB17"/>
    <mergeCell ref="BMF17:BMG17"/>
    <mergeCell ref="BMO17:BMP17"/>
    <mergeCell ref="BMX17:BMY17"/>
    <mergeCell ref="BNG17:BNH17"/>
    <mergeCell ref="BNP17:BNQ17"/>
    <mergeCell ref="BNY17:BNZ17"/>
    <mergeCell ref="BKD17:BKE17"/>
    <mergeCell ref="BKM17:BKN17"/>
    <mergeCell ref="BKV17:BKW17"/>
    <mergeCell ref="BLE17:BLF17"/>
    <mergeCell ref="BLN17:BLO17"/>
    <mergeCell ref="BLW17:BLX17"/>
    <mergeCell ref="BUN17:BUO17"/>
    <mergeCell ref="BUW17:BUX17"/>
    <mergeCell ref="BVF17:BVG17"/>
    <mergeCell ref="BVO17:BVP17"/>
    <mergeCell ref="BVX17:BVY17"/>
    <mergeCell ref="BWG17:BWH17"/>
    <mergeCell ref="BSL17:BSM17"/>
    <mergeCell ref="BSU17:BSV17"/>
    <mergeCell ref="BTD17:BTE17"/>
    <mergeCell ref="BTM17:BTN17"/>
    <mergeCell ref="BTV17:BTW17"/>
    <mergeCell ref="BUE17:BUF17"/>
    <mergeCell ref="BQJ17:BQK17"/>
    <mergeCell ref="BQS17:BQT17"/>
    <mergeCell ref="BRB17:BRC17"/>
    <mergeCell ref="BRK17:BRL17"/>
    <mergeCell ref="BRT17:BRU17"/>
    <mergeCell ref="BSC17:BSD17"/>
    <mergeCell ref="CAT17:CAU17"/>
    <mergeCell ref="CBC17:CBD17"/>
    <mergeCell ref="CBL17:CBM17"/>
    <mergeCell ref="CBU17:CBV17"/>
    <mergeCell ref="CCD17:CCE17"/>
    <mergeCell ref="CCM17:CCN17"/>
    <mergeCell ref="BYR17:BYS17"/>
    <mergeCell ref="BZA17:BZB17"/>
    <mergeCell ref="BZJ17:BZK17"/>
    <mergeCell ref="BZS17:BZT17"/>
    <mergeCell ref="CAB17:CAC17"/>
    <mergeCell ref="CAK17:CAL17"/>
    <mergeCell ref="BWP17:BWQ17"/>
    <mergeCell ref="BWY17:BWZ17"/>
    <mergeCell ref="BXH17:BXI17"/>
    <mergeCell ref="BXQ17:BXR17"/>
    <mergeCell ref="BXZ17:BYA17"/>
    <mergeCell ref="BYI17:BYJ17"/>
    <mergeCell ref="CGZ17:CHA17"/>
    <mergeCell ref="CHI17:CHJ17"/>
    <mergeCell ref="CHR17:CHS17"/>
    <mergeCell ref="CIA17:CIB17"/>
    <mergeCell ref="CIJ17:CIK17"/>
    <mergeCell ref="CIS17:CIT17"/>
    <mergeCell ref="CEX17:CEY17"/>
    <mergeCell ref="CFG17:CFH17"/>
    <mergeCell ref="CFP17:CFQ17"/>
    <mergeCell ref="CFY17:CFZ17"/>
    <mergeCell ref="CGH17:CGI17"/>
    <mergeCell ref="CGQ17:CGR17"/>
    <mergeCell ref="CCV17:CCW17"/>
    <mergeCell ref="CDE17:CDF17"/>
    <mergeCell ref="CDN17:CDO17"/>
    <mergeCell ref="CDW17:CDX17"/>
    <mergeCell ref="CEF17:CEG17"/>
    <mergeCell ref="CEO17:CEP17"/>
    <mergeCell ref="CNF17:CNG17"/>
    <mergeCell ref="CNO17:CNP17"/>
    <mergeCell ref="CNX17:CNY17"/>
    <mergeCell ref="COG17:COH17"/>
    <mergeCell ref="COP17:COQ17"/>
    <mergeCell ref="COY17:COZ17"/>
    <mergeCell ref="CLD17:CLE17"/>
    <mergeCell ref="CLM17:CLN17"/>
    <mergeCell ref="CLV17:CLW17"/>
    <mergeCell ref="CME17:CMF17"/>
    <mergeCell ref="CMN17:CMO17"/>
    <mergeCell ref="CMW17:CMX17"/>
    <mergeCell ref="CJB17:CJC17"/>
    <mergeCell ref="CJK17:CJL17"/>
    <mergeCell ref="CJT17:CJU17"/>
    <mergeCell ref="CKC17:CKD17"/>
    <mergeCell ref="CKL17:CKM17"/>
    <mergeCell ref="CKU17:CKV17"/>
    <mergeCell ref="CTL17:CTM17"/>
    <mergeCell ref="CTU17:CTV17"/>
    <mergeCell ref="CUD17:CUE17"/>
    <mergeCell ref="CUM17:CUN17"/>
    <mergeCell ref="CUV17:CUW17"/>
    <mergeCell ref="CVE17:CVF17"/>
    <mergeCell ref="CRJ17:CRK17"/>
    <mergeCell ref="CRS17:CRT17"/>
    <mergeCell ref="CSB17:CSC17"/>
    <mergeCell ref="CSK17:CSL17"/>
    <mergeCell ref="CST17:CSU17"/>
    <mergeCell ref="CTC17:CTD17"/>
    <mergeCell ref="CPH17:CPI17"/>
    <mergeCell ref="CPQ17:CPR17"/>
    <mergeCell ref="CPZ17:CQA17"/>
    <mergeCell ref="CQI17:CQJ17"/>
    <mergeCell ref="CQR17:CQS17"/>
    <mergeCell ref="CRA17:CRB17"/>
    <mergeCell ref="CZR17:CZS17"/>
    <mergeCell ref="DAA17:DAB17"/>
    <mergeCell ref="DAJ17:DAK17"/>
    <mergeCell ref="DAS17:DAT17"/>
    <mergeCell ref="DBB17:DBC17"/>
    <mergeCell ref="DBK17:DBL17"/>
    <mergeCell ref="CXP17:CXQ17"/>
    <mergeCell ref="CXY17:CXZ17"/>
    <mergeCell ref="CYH17:CYI17"/>
    <mergeCell ref="CYQ17:CYR17"/>
    <mergeCell ref="CYZ17:CZA17"/>
    <mergeCell ref="CZI17:CZJ17"/>
    <mergeCell ref="CVN17:CVO17"/>
    <mergeCell ref="CVW17:CVX17"/>
    <mergeCell ref="CWF17:CWG17"/>
    <mergeCell ref="CWO17:CWP17"/>
    <mergeCell ref="CWX17:CWY17"/>
    <mergeCell ref="CXG17:CXH17"/>
    <mergeCell ref="DFX17:DFY17"/>
    <mergeCell ref="DGG17:DGH17"/>
    <mergeCell ref="DGP17:DGQ17"/>
    <mergeCell ref="DGY17:DGZ17"/>
    <mergeCell ref="DHH17:DHI17"/>
    <mergeCell ref="DHQ17:DHR17"/>
    <mergeCell ref="DDV17:DDW17"/>
    <mergeCell ref="DEE17:DEF17"/>
    <mergeCell ref="DEN17:DEO17"/>
    <mergeCell ref="DEW17:DEX17"/>
    <mergeCell ref="DFF17:DFG17"/>
    <mergeCell ref="DFO17:DFP17"/>
    <mergeCell ref="DBT17:DBU17"/>
    <mergeCell ref="DCC17:DCD17"/>
    <mergeCell ref="DCL17:DCM17"/>
    <mergeCell ref="DCU17:DCV17"/>
    <mergeCell ref="DDD17:DDE17"/>
    <mergeCell ref="DDM17:DDN17"/>
    <mergeCell ref="DMD17:DME17"/>
    <mergeCell ref="DMM17:DMN17"/>
    <mergeCell ref="DMV17:DMW17"/>
    <mergeCell ref="DNE17:DNF17"/>
    <mergeCell ref="DNN17:DNO17"/>
    <mergeCell ref="DNW17:DNX17"/>
    <mergeCell ref="DKB17:DKC17"/>
    <mergeCell ref="DKK17:DKL17"/>
    <mergeCell ref="DKT17:DKU17"/>
    <mergeCell ref="DLC17:DLD17"/>
    <mergeCell ref="DLL17:DLM17"/>
    <mergeCell ref="DLU17:DLV17"/>
    <mergeCell ref="DHZ17:DIA17"/>
    <mergeCell ref="DII17:DIJ17"/>
    <mergeCell ref="DIR17:DIS17"/>
    <mergeCell ref="DJA17:DJB17"/>
    <mergeCell ref="DJJ17:DJK17"/>
    <mergeCell ref="DJS17:DJT17"/>
    <mergeCell ref="DSJ17:DSK17"/>
    <mergeCell ref="DSS17:DST17"/>
    <mergeCell ref="DTB17:DTC17"/>
    <mergeCell ref="DTK17:DTL17"/>
    <mergeCell ref="DTT17:DTU17"/>
    <mergeCell ref="DUC17:DUD17"/>
    <mergeCell ref="DQH17:DQI17"/>
    <mergeCell ref="DQQ17:DQR17"/>
    <mergeCell ref="DQZ17:DRA17"/>
    <mergeCell ref="DRI17:DRJ17"/>
    <mergeCell ref="DRR17:DRS17"/>
    <mergeCell ref="DSA17:DSB17"/>
    <mergeCell ref="DOF17:DOG17"/>
    <mergeCell ref="DOO17:DOP17"/>
    <mergeCell ref="DOX17:DOY17"/>
    <mergeCell ref="DPG17:DPH17"/>
    <mergeCell ref="DPP17:DPQ17"/>
    <mergeCell ref="DPY17:DPZ17"/>
    <mergeCell ref="DYP17:DYQ17"/>
    <mergeCell ref="DYY17:DYZ17"/>
    <mergeCell ref="DZH17:DZI17"/>
    <mergeCell ref="DZQ17:DZR17"/>
    <mergeCell ref="DZZ17:EAA17"/>
    <mergeCell ref="EAI17:EAJ17"/>
    <mergeCell ref="DWN17:DWO17"/>
    <mergeCell ref="DWW17:DWX17"/>
    <mergeCell ref="DXF17:DXG17"/>
    <mergeCell ref="DXO17:DXP17"/>
    <mergeCell ref="DXX17:DXY17"/>
    <mergeCell ref="DYG17:DYH17"/>
    <mergeCell ref="DUL17:DUM17"/>
    <mergeCell ref="DUU17:DUV17"/>
    <mergeCell ref="DVD17:DVE17"/>
    <mergeCell ref="DVM17:DVN17"/>
    <mergeCell ref="DVV17:DVW17"/>
    <mergeCell ref="DWE17:DWF17"/>
    <mergeCell ref="EEV17:EEW17"/>
    <mergeCell ref="EFE17:EFF17"/>
    <mergeCell ref="EFN17:EFO17"/>
    <mergeCell ref="EFW17:EFX17"/>
    <mergeCell ref="EGF17:EGG17"/>
    <mergeCell ref="EGO17:EGP17"/>
    <mergeCell ref="ECT17:ECU17"/>
    <mergeCell ref="EDC17:EDD17"/>
    <mergeCell ref="EDL17:EDM17"/>
    <mergeCell ref="EDU17:EDV17"/>
    <mergeCell ref="EED17:EEE17"/>
    <mergeCell ref="EEM17:EEN17"/>
    <mergeCell ref="EAR17:EAS17"/>
    <mergeCell ref="EBA17:EBB17"/>
    <mergeCell ref="EBJ17:EBK17"/>
    <mergeCell ref="EBS17:EBT17"/>
    <mergeCell ref="ECB17:ECC17"/>
    <mergeCell ref="ECK17:ECL17"/>
    <mergeCell ref="ELB17:ELC17"/>
    <mergeCell ref="ELK17:ELL17"/>
    <mergeCell ref="ELT17:ELU17"/>
    <mergeCell ref="EMC17:EMD17"/>
    <mergeCell ref="EML17:EMM17"/>
    <mergeCell ref="EMU17:EMV17"/>
    <mergeCell ref="EIZ17:EJA17"/>
    <mergeCell ref="EJI17:EJJ17"/>
    <mergeCell ref="EJR17:EJS17"/>
    <mergeCell ref="EKA17:EKB17"/>
    <mergeCell ref="EKJ17:EKK17"/>
    <mergeCell ref="EKS17:EKT17"/>
    <mergeCell ref="EGX17:EGY17"/>
    <mergeCell ref="EHG17:EHH17"/>
    <mergeCell ref="EHP17:EHQ17"/>
    <mergeCell ref="EHY17:EHZ17"/>
    <mergeCell ref="EIH17:EII17"/>
    <mergeCell ref="EIQ17:EIR17"/>
    <mergeCell ref="ERH17:ERI17"/>
    <mergeCell ref="ERQ17:ERR17"/>
    <mergeCell ref="ERZ17:ESA17"/>
    <mergeCell ref="ESI17:ESJ17"/>
    <mergeCell ref="ESR17:ESS17"/>
    <mergeCell ref="ETA17:ETB17"/>
    <mergeCell ref="EPF17:EPG17"/>
    <mergeCell ref="EPO17:EPP17"/>
    <mergeCell ref="EPX17:EPY17"/>
    <mergeCell ref="EQG17:EQH17"/>
    <mergeCell ref="EQP17:EQQ17"/>
    <mergeCell ref="EQY17:EQZ17"/>
    <mergeCell ref="END17:ENE17"/>
    <mergeCell ref="ENM17:ENN17"/>
    <mergeCell ref="ENV17:ENW17"/>
    <mergeCell ref="EOE17:EOF17"/>
    <mergeCell ref="EON17:EOO17"/>
    <mergeCell ref="EOW17:EOX17"/>
    <mergeCell ref="EXN17:EXO17"/>
    <mergeCell ref="EXW17:EXX17"/>
    <mergeCell ref="EYF17:EYG17"/>
    <mergeCell ref="EYO17:EYP17"/>
    <mergeCell ref="EYX17:EYY17"/>
    <mergeCell ref="EZG17:EZH17"/>
    <mergeCell ref="EVL17:EVM17"/>
    <mergeCell ref="EVU17:EVV17"/>
    <mergeCell ref="EWD17:EWE17"/>
    <mergeCell ref="EWM17:EWN17"/>
    <mergeCell ref="EWV17:EWW17"/>
    <mergeCell ref="EXE17:EXF17"/>
    <mergeCell ref="ETJ17:ETK17"/>
    <mergeCell ref="ETS17:ETT17"/>
    <mergeCell ref="EUB17:EUC17"/>
    <mergeCell ref="EUK17:EUL17"/>
    <mergeCell ref="EUT17:EUU17"/>
    <mergeCell ref="EVC17:EVD17"/>
    <mergeCell ref="FDT17:FDU17"/>
    <mergeCell ref="FEC17:FED17"/>
    <mergeCell ref="FEL17:FEM17"/>
    <mergeCell ref="FEU17:FEV17"/>
    <mergeCell ref="FFD17:FFE17"/>
    <mergeCell ref="FFM17:FFN17"/>
    <mergeCell ref="FBR17:FBS17"/>
    <mergeCell ref="FCA17:FCB17"/>
    <mergeCell ref="FCJ17:FCK17"/>
    <mergeCell ref="FCS17:FCT17"/>
    <mergeCell ref="FDB17:FDC17"/>
    <mergeCell ref="FDK17:FDL17"/>
    <mergeCell ref="EZP17:EZQ17"/>
    <mergeCell ref="EZY17:EZZ17"/>
    <mergeCell ref="FAH17:FAI17"/>
    <mergeCell ref="FAQ17:FAR17"/>
    <mergeCell ref="FAZ17:FBA17"/>
    <mergeCell ref="FBI17:FBJ17"/>
    <mergeCell ref="FJZ17:FKA17"/>
    <mergeCell ref="FKI17:FKJ17"/>
    <mergeCell ref="FKR17:FKS17"/>
    <mergeCell ref="FLA17:FLB17"/>
    <mergeCell ref="FLJ17:FLK17"/>
    <mergeCell ref="FLS17:FLT17"/>
    <mergeCell ref="FHX17:FHY17"/>
    <mergeCell ref="FIG17:FIH17"/>
    <mergeCell ref="FIP17:FIQ17"/>
    <mergeCell ref="FIY17:FIZ17"/>
    <mergeCell ref="FJH17:FJI17"/>
    <mergeCell ref="FJQ17:FJR17"/>
    <mergeCell ref="FFV17:FFW17"/>
    <mergeCell ref="FGE17:FGF17"/>
    <mergeCell ref="FGN17:FGO17"/>
    <mergeCell ref="FGW17:FGX17"/>
    <mergeCell ref="FHF17:FHG17"/>
    <mergeCell ref="FHO17:FHP17"/>
    <mergeCell ref="FQF17:FQG17"/>
    <mergeCell ref="FQO17:FQP17"/>
    <mergeCell ref="FQX17:FQY17"/>
    <mergeCell ref="FRG17:FRH17"/>
    <mergeCell ref="FRP17:FRQ17"/>
    <mergeCell ref="FRY17:FRZ17"/>
    <mergeCell ref="FOD17:FOE17"/>
    <mergeCell ref="FOM17:FON17"/>
    <mergeCell ref="FOV17:FOW17"/>
    <mergeCell ref="FPE17:FPF17"/>
    <mergeCell ref="FPN17:FPO17"/>
    <mergeCell ref="FPW17:FPX17"/>
    <mergeCell ref="FMB17:FMC17"/>
    <mergeCell ref="FMK17:FML17"/>
    <mergeCell ref="FMT17:FMU17"/>
    <mergeCell ref="FNC17:FND17"/>
    <mergeCell ref="FNL17:FNM17"/>
    <mergeCell ref="FNU17:FNV17"/>
    <mergeCell ref="FWL17:FWM17"/>
    <mergeCell ref="FWU17:FWV17"/>
    <mergeCell ref="FXD17:FXE17"/>
    <mergeCell ref="FXM17:FXN17"/>
    <mergeCell ref="FXV17:FXW17"/>
    <mergeCell ref="FYE17:FYF17"/>
    <mergeCell ref="FUJ17:FUK17"/>
    <mergeCell ref="FUS17:FUT17"/>
    <mergeCell ref="FVB17:FVC17"/>
    <mergeCell ref="FVK17:FVL17"/>
    <mergeCell ref="FVT17:FVU17"/>
    <mergeCell ref="FWC17:FWD17"/>
    <mergeCell ref="FSH17:FSI17"/>
    <mergeCell ref="FSQ17:FSR17"/>
    <mergeCell ref="FSZ17:FTA17"/>
    <mergeCell ref="FTI17:FTJ17"/>
    <mergeCell ref="FTR17:FTS17"/>
    <mergeCell ref="FUA17:FUB17"/>
    <mergeCell ref="GCR17:GCS17"/>
    <mergeCell ref="GDA17:GDB17"/>
    <mergeCell ref="GDJ17:GDK17"/>
    <mergeCell ref="GDS17:GDT17"/>
    <mergeCell ref="GEB17:GEC17"/>
    <mergeCell ref="GEK17:GEL17"/>
    <mergeCell ref="GAP17:GAQ17"/>
    <mergeCell ref="GAY17:GAZ17"/>
    <mergeCell ref="GBH17:GBI17"/>
    <mergeCell ref="GBQ17:GBR17"/>
    <mergeCell ref="GBZ17:GCA17"/>
    <mergeCell ref="GCI17:GCJ17"/>
    <mergeCell ref="FYN17:FYO17"/>
    <mergeCell ref="FYW17:FYX17"/>
    <mergeCell ref="FZF17:FZG17"/>
    <mergeCell ref="FZO17:FZP17"/>
    <mergeCell ref="FZX17:FZY17"/>
    <mergeCell ref="GAG17:GAH17"/>
    <mergeCell ref="GIX17:GIY17"/>
    <mergeCell ref="GJG17:GJH17"/>
    <mergeCell ref="GJP17:GJQ17"/>
    <mergeCell ref="GJY17:GJZ17"/>
    <mergeCell ref="GKH17:GKI17"/>
    <mergeCell ref="GKQ17:GKR17"/>
    <mergeCell ref="GGV17:GGW17"/>
    <mergeCell ref="GHE17:GHF17"/>
    <mergeCell ref="GHN17:GHO17"/>
    <mergeCell ref="GHW17:GHX17"/>
    <mergeCell ref="GIF17:GIG17"/>
    <mergeCell ref="GIO17:GIP17"/>
    <mergeCell ref="GET17:GEU17"/>
    <mergeCell ref="GFC17:GFD17"/>
    <mergeCell ref="GFL17:GFM17"/>
    <mergeCell ref="GFU17:GFV17"/>
    <mergeCell ref="GGD17:GGE17"/>
    <mergeCell ref="GGM17:GGN17"/>
    <mergeCell ref="GPD17:GPE17"/>
    <mergeCell ref="GPM17:GPN17"/>
    <mergeCell ref="GPV17:GPW17"/>
    <mergeCell ref="GQE17:GQF17"/>
    <mergeCell ref="GQN17:GQO17"/>
    <mergeCell ref="GQW17:GQX17"/>
    <mergeCell ref="GNB17:GNC17"/>
    <mergeCell ref="GNK17:GNL17"/>
    <mergeCell ref="GNT17:GNU17"/>
    <mergeCell ref="GOC17:GOD17"/>
    <mergeCell ref="GOL17:GOM17"/>
    <mergeCell ref="GOU17:GOV17"/>
    <mergeCell ref="GKZ17:GLA17"/>
    <mergeCell ref="GLI17:GLJ17"/>
    <mergeCell ref="GLR17:GLS17"/>
    <mergeCell ref="GMA17:GMB17"/>
    <mergeCell ref="GMJ17:GMK17"/>
    <mergeCell ref="GMS17:GMT17"/>
    <mergeCell ref="GVJ17:GVK17"/>
    <mergeCell ref="GVS17:GVT17"/>
    <mergeCell ref="GWB17:GWC17"/>
    <mergeCell ref="GWK17:GWL17"/>
    <mergeCell ref="GWT17:GWU17"/>
    <mergeCell ref="GXC17:GXD17"/>
    <mergeCell ref="GTH17:GTI17"/>
    <mergeCell ref="GTQ17:GTR17"/>
    <mergeCell ref="GTZ17:GUA17"/>
    <mergeCell ref="GUI17:GUJ17"/>
    <mergeCell ref="GUR17:GUS17"/>
    <mergeCell ref="GVA17:GVB17"/>
    <mergeCell ref="GRF17:GRG17"/>
    <mergeCell ref="GRO17:GRP17"/>
    <mergeCell ref="GRX17:GRY17"/>
    <mergeCell ref="GSG17:GSH17"/>
    <mergeCell ref="GSP17:GSQ17"/>
    <mergeCell ref="GSY17:GSZ17"/>
    <mergeCell ref="HBP17:HBQ17"/>
    <mergeCell ref="HBY17:HBZ17"/>
    <mergeCell ref="HCH17:HCI17"/>
    <mergeCell ref="HCQ17:HCR17"/>
    <mergeCell ref="HCZ17:HDA17"/>
    <mergeCell ref="HDI17:HDJ17"/>
    <mergeCell ref="GZN17:GZO17"/>
    <mergeCell ref="GZW17:GZX17"/>
    <mergeCell ref="HAF17:HAG17"/>
    <mergeCell ref="HAO17:HAP17"/>
    <mergeCell ref="HAX17:HAY17"/>
    <mergeCell ref="HBG17:HBH17"/>
    <mergeCell ref="GXL17:GXM17"/>
    <mergeCell ref="GXU17:GXV17"/>
    <mergeCell ref="GYD17:GYE17"/>
    <mergeCell ref="GYM17:GYN17"/>
    <mergeCell ref="GYV17:GYW17"/>
    <mergeCell ref="GZE17:GZF17"/>
    <mergeCell ref="HHV17:HHW17"/>
    <mergeCell ref="HIE17:HIF17"/>
    <mergeCell ref="HIN17:HIO17"/>
    <mergeCell ref="HIW17:HIX17"/>
    <mergeCell ref="HJF17:HJG17"/>
    <mergeCell ref="HJO17:HJP17"/>
    <mergeCell ref="HFT17:HFU17"/>
    <mergeCell ref="HGC17:HGD17"/>
    <mergeCell ref="HGL17:HGM17"/>
    <mergeCell ref="HGU17:HGV17"/>
    <mergeCell ref="HHD17:HHE17"/>
    <mergeCell ref="HHM17:HHN17"/>
    <mergeCell ref="HDR17:HDS17"/>
    <mergeCell ref="HEA17:HEB17"/>
    <mergeCell ref="HEJ17:HEK17"/>
    <mergeCell ref="HES17:HET17"/>
    <mergeCell ref="HFB17:HFC17"/>
    <mergeCell ref="HFK17:HFL17"/>
    <mergeCell ref="HOB17:HOC17"/>
    <mergeCell ref="HOK17:HOL17"/>
    <mergeCell ref="HOT17:HOU17"/>
    <mergeCell ref="HPC17:HPD17"/>
    <mergeCell ref="HPL17:HPM17"/>
    <mergeCell ref="HPU17:HPV17"/>
    <mergeCell ref="HLZ17:HMA17"/>
    <mergeCell ref="HMI17:HMJ17"/>
    <mergeCell ref="HMR17:HMS17"/>
    <mergeCell ref="HNA17:HNB17"/>
    <mergeCell ref="HNJ17:HNK17"/>
    <mergeCell ref="HNS17:HNT17"/>
    <mergeCell ref="HJX17:HJY17"/>
    <mergeCell ref="HKG17:HKH17"/>
    <mergeCell ref="HKP17:HKQ17"/>
    <mergeCell ref="HKY17:HKZ17"/>
    <mergeCell ref="HLH17:HLI17"/>
    <mergeCell ref="HLQ17:HLR17"/>
    <mergeCell ref="HUH17:HUI17"/>
    <mergeCell ref="HUQ17:HUR17"/>
    <mergeCell ref="HUZ17:HVA17"/>
    <mergeCell ref="HVI17:HVJ17"/>
    <mergeCell ref="HVR17:HVS17"/>
    <mergeCell ref="HWA17:HWB17"/>
    <mergeCell ref="HSF17:HSG17"/>
    <mergeCell ref="HSO17:HSP17"/>
    <mergeCell ref="HSX17:HSY17"/>
    <mergeCell ref="HTG17:HTH17"/>
    <mergeCell ref="HTP17:HTQ17"/>
    <mergeCell ref="HTY17:HTZ17"/>
    <mergeCell ref="HQD17:HQE17"/>
    <mergeCell ref="HQM17:HQN17"/>
    <mergeCell ref="HQV17:HQW17"/>
    <mergeCell ref="HRE17:HRF17"/>
    <mergeCell ref="HRN17:HRO17"/>
    <mergeCell ref="HRW17:HRX17"/>
    <mergeCell ref="IAN17:IAO17"/>
    <mergeCell ref="IAW17:IAX17"/>
    <mergeCell ref="IBF17:IBG17"/>
    <mergeCell ref="IBO17:IBP17"/>
    <mergeCell ref="IBX17:IBY17"/>
    <mergeCell ref="ICG17:ICH17"/>
    <mergeCell ref="HYL17:HYM17"/>
    <mergeCell ref="HYU17:HYV17"/>
    <mergeCell ref="HZD17:HZE17"/>
    <mergeCell ref="HZM17:HZN17"/>
    <mergeCell ref="HZV17:HZW17"/>
    <mergeCell ref="IAE17:IAF17"/>
    <mergeCell ref="HWJ17:HWK17"/>
    <mergeCell ref="HWS17:HWT17"/>
    <mergeCell ref="HXB17:HXC17"/>
    <mergeCell ref="HXK17:HXL17"/>
    <mergeCell ref="HXT17:HXU17"/>
    <mergeCell ref="HYC17:HYD17"/>
    <mergeCell ref="IGT17:IGU17"/>
    <mergeCell ref="IHC17:IHD17"/>
    <mergeCell ref="IHL17:IHM17"/>
    <mergeCell ref="IHU17:IHV17"/>
    <mergeCell ref="IID17:IIE17"/>
    <mergeCell ref="IIM17:IIN17"/>
    <mergeCell ref="IER17:IES17"/>
    <mergeCell ref="IFA17:IFB17"/>
    <mergeCell ref="IFJ17:IFK17"/>
    <mergeCell ref="IFS17:IFT17"/>
    <mergeCell ref="IGB17:IGC17"/>
    <mergeCell ref="IGK17:IGL17"/>
    <mergeCell ref="ICP17:ICQ17"/>
    <mergeCell ref="ICY17:ICZ17"/>
    <mergeCell ref="IDH17:IDI17"/>
    <mergeCell ref="IDQ17:IDR17"/>
    <mergeCell ref="IDZ17:IEA17"/>
    <mergeCell ref="IEI17:IEJ17"/>
    <mergeCell ref="IMZ17:INA17"/>
    <mergeCell ref="INI17:INJ17"/>
    <mergeCell ref="INR17:INS17"/>
    <mergeCell ref="IOA17:IOB17"/>
    <mergeCell ref="IOJ17:IOK17"/>
    <mergeCell ref="IOS17:IOT17"/>
    <mergeCell ref="IKX17:IKY17"/>
    <mergeCell ref="ILG17:ILH17"/>
    <mergeCell ref="ILP17:ILQ17"/>
    <mergeCell ref="ILY17:ILZ17"/>
    <mergeCell ref="IMH17:IMI17"/>
    <mergeCell ref="IMQ17:IMR17"/>
    <mergeCell ref="IIV17:IIW17"/>
    <mergeCell ref="IJE17:IJF17"/>
    <mergeCell ref="IJN17:IJO17"/>
    <mergeCell ref="IJW17:IJX17"/>
    <mergeCell ref="IKF17:IKG17"/>
    <mergeCell ref="IKO17:IKP17"/>
    <mergeCell ref="ITF17:ITG17"/>
    <mergeCell ref="ITO17:ITP17"/>
    <mergeCell ref="ITX17:ITY17"/>
    <mergeCell ref="IUG17:IUH17"/>
    <mergeCell ref="IUP17:IUQ17"/>
    <mergeCell ref="IUY17:IUZ17"/>
    <mergeCell ref="IRD17:IRE17"/>
    <mergeCell ref="IRM17:IRN17"/>
    <mergeCell ref="IRV17:IRW17"/>
    <mergeCell ref="ISE17:ISF17"/>
    <mergeCell ref="ISN17:ISO17"/>
    <mergeCell ref="ISW17:ISX17"/>
    <mergeCell ref="IPB17:IPC17"/>
    <mergeCell ref="IPK17:IPL17"/>
    <mergeCell ref="IPT17:IPU17"/>
    <mergeCell ref="IQC17:IQD17"/>
    <mergeCell ref="IQL17:IQM17"/>
    <mergeCell ref="IQU17:IQV17"/>
    <mergeCell ref="IZL17:IZM17"/>
    <mergeCell ref="IZU17:IZV17"/>
    <mergeCell ref="JAD17:JAE17"/>
    <mergeCell ref="JAM17:JAN17"/>
    <mergeCell ref="JAV17:JAW17"/>
    <mergeCell ref="JBE17:JBF17"/>
    <mergeCell ref="IXJ17:IXK17"/>
    <mergeCell ref="IXS17:IXT17"/>
    <mergeCell ref="IYB17:IYC17"/>
    <mergeCell ref="IYK17:IYL17"/>
    <mergeCell ref="IYT17:IYU17"/>
    <mergeCell ref="IZC17:IZD17"/>
    <mergeCell ref="IVH17:IVI17"/>
    <mergeCell ref="IVQ17:IVR17"/>
    <mergeCell ref="IVZ17:IWA17"/>
    <mergeCell ref="IWI17:IWJ17"/>
    <mergeCell ref="IWR17:IWS17"/>
    <mergeCell ref="IXA17:IXB17"/>
    <mergeCell ref="JFR17:JFS17"/>
    <mergeCell ref="JGA17:JGB17"/>
    <mergeCell ref="JGJ17:JGK17"/>
    <mergeCell ref="JGS17:JGT17"/>
    <mergeCell ref="JHB17:JHC17"/>
    <mergeCell ref="JHK17:JHL17"/>
    <mergeCell ref="JDP17:JDQ17"/>
    <mergeCell ref="JDY17:JDZ17"/>
    <mergeCell ref="JEH17:JEI17"/>
    <mergeCell ref="JEQ17:JER17"/>
    <mergeCell ref="JEZ17:JFA17"/>
    <mergeCell ref="JFI17:JFJ17"/>
    <mergeCell ref="JBN17:JBO17"/>
    <mergeCell ref="JBW17:JBX17"/>
    <mergeCell ref="JCF17:JCG17"/>
    <mergeCell ref="JCO17:JCP17"/>
    <mergeCell ref="JCX17:JCY17"/>
    <mergeCell ref="JDG17:JDH17"/>
    <mergeCell ref="JLX17:JLY17"/>
    <mergeCell ref="JMG17:JMH17"/>
    <mergeCell ref="JMP17:JMQ17"/>
    <mergeCell ref="JMY17:JMZ17"/>
    <mergeCell ref="JNH17:JNI17"/>
    <mergeCell ref="JNQ17:JNR17"/>
    <mergeCell ref="JJV17:JJW17"/>
    <mergeCell ref="JKE17:JKF17"/>
    <mergeCell ref="JKN17:JKO17"/>
    <mergeCell ref="JKW17:JKX17"/>
    <mergeCell ref="JLF17:JLG17"/>
    <mergeCell ref="JLO17:JLP17"/>
    <mergeCell ref="JHT17:JHU17"/>
    <mergeCell ref="JIC17:JID17"/>
    <mergeCell ref="JIL17:JIM17"/>
    <mergeCell ref="JIU17:JIV17"/>
    <mergeCell ref="JJD17:JJE17"/>
    <mergeCell ref="JJM17:JJN17"/>
    <mergeCell ref="JSD17:JSE17"/>
    <mergeCell ref="JSM17:JSN17"/>
    <mergeCell ref="JSV17:JSW17"/>
    <mergeCell ref="JTE17:JTF17"/>
    <mergeCell ref="JTN17:JTO17"/>
    <mergeCell ref="JTW17:JTX17"/>
    <mergeCell ref="JQB17:JQC17"/>
    <mergeCell ref="JQK17:JQL17"/>
    <mergeCell ref="JQT17:JQU17"/>
    <mergeCell ref="JRC17:JRD17"/>
    <mergeCell ref="JRL17:JRM17"/>
    <mergeCell ref="JRU17:JRV17"/>
    <mergeCell ref="JNZ17:JOA17"/>
    <mergeCell ref="JOI17:JOJ17"/>
    <mergeCell ref="JOR17:JOS17"/>
    <mergeCell ref="JPA17:JPB17"/>
    <mergeCell ref="JPJ17:JPK17"/>
    <mergeCell ref="JPS17:JPT17"/>
    <mergeCell ref="JYJ17:JYK17"/>
    <mergeCell ref="JYS17:JYT17"/>
    <mergeCell ref="JZB17:JZC17"/>
    <mergeCell ref="JZK17:JZL17"/>
    <mergeCell ref="JZT17:JZU17"/>
    <mergeCell ref="KAC17:KAD17"/>
    <mergeCell ref="JWH17:JWI17"/>
    <mergeCell ref="JWQ17:JWR17"/>
    <mergeCell ref="JWZ17:JXA17"/>
    <mergeCell ref="JXI17:JXJ17"/>
    <mergeCell ref="JXR17:JXS17"/>
    <mergeCell ref="JYA17:JYB17"/>
    <mergeCell ref="JUF17:JUG17"/>
    <mergeCell ref="JUO17:JUP17"/>
    <mergeCell ref="JUX17:JUY17"/>
    <mergeCell ref="JVG17:JVH17"/>
    <mergeCell ref="JVP17:JVQ17"/>
    <mergeCell ref="JVY17:JVZ17"/>
    <mergeCell ref="KEP17:KEQ17"/>
    <mergeCell ref="KEY17:KEZ17"/>
    <mergeCell ref="KFH17:KFI17"/>
    <mergeCell ref="KFQ17:KFR17"/>
    <mergeCell ref="KFZ17:KGA17"/>
    <mergeCell ref="KGI17:KGJ17"/>
    <mergeCell ref="KCN17:KCO17"/>
    <mergeCell ref="KCW17:KCX17"/>
    <mergeCell ref="KDF17:KDG17"/>
    <mergeCell ref="KDO17:KDP17"/>
    <mergeCell ref="KDX17:KDY17"/>
    <mergeCell ref="KEG17:KEH17"/>
    <mergeCell ref="KAL17:KAM17"/>
    <mergeCell ref="KAU17:KAV17"/>
    <mergeCell ref="KBD17:KBE17"/>
    <mergeCell ref="KBM17:KBN17"/>
    <mergeCell ref="KBV17:KBW17"/>
    <mergeCell ref="KCE17:KCF17"/>
    <mergeCell ref="KKV17:KKW17"/>
    <mergeCell ref="KLE17:KLF17"/>
    <mergeCell ref="KLN17:KLO17"/>
    <mergeCell ref="KLW17:KLX17"/>
    <mergeCell ref="KMF17:KMG17"/>
    <mergeCell ref="KMO17:KMP17"/>
    <mergeCell ref="KIT17:KIU17"/>
    <mergeCell ref="KJC17:KJD17"/>
    <mergeCell ref="KJL17:KJM17"/>
    <mergeCell ref="KJU17:KJV17"/>
    <mergeCell ref="KKD17:KKE17"/>
    <mergeCell ref="KKM17:KKN17"/>
    <mergeCell ref="KGR17:KGS17"/>
    <mergeCell ref="KHA17:KHB17"/>
    <mergeCell ref="KHJ17:KHK17"/>
    <mergeCell ref="KHS17:KHT17"/>
    <mergeCell ref="KIB17:KIC17"/>
    <mergeCell ref="KIK17:KIL17"/>
    <mergeCell ref="KRB17:KRC17"/>
    <mergeCell ref="KRK17:KRL17"/>
    <mergeCell ref="KRT17:KRU17"/>
    <mergeCell ref="KSC17:KSD17"/>
    <mergeCell ref="KSL17:KSM17"/>
    <mergeCell ref="KSU17:KSV17"/>
    <mergeCell ref="KOZ17:KPA17"/>
    <mergeCell ref="KPI17:KPJ17"/>
    <mergeCell ref="KPR17:KPS17"/>
    <mergeCell ref="KQA17:KQB17"/>
    <mergeCell ref="KQJ17:KQK17"/>
    <mergeCell ref="KQS17:KQT17"/>
    <mergeCell ref="KMX17:KMY17"/>
    <mergeCell ref="KNG17:KNH17"/>
    <mergeCell ref="KNP17:KNQ17"/>
    <mergeCell ref="KNY17:KNZ17"/>
    <mergeCell ref="KOH17:KOI17"/>
    <mergeCell ref="KOQ17:KOR17"/>
    <mergeCell ref="KXH17:KXI17"/>
    <mergeCell ref="KXQ17:KXR17"/>
    <mergeCell ref="KXZ17:KYA17"/>
    <mergeCell ref="KYI17:KYJ17"/>
    <mergeCell ref="KYR17:KYS17"/>
    <mergeCell ref="KZA17:KZB17"/>
    <mergeCell ref="KVF17:KVG17"/>
    <mergeCell ref="KVO17:KVP17"/>
    <mergeCell ref="KVX17:KVY17"/>
    <mergeCell ref="KWG17:KWH17"/>
    <mergeCell ref="KWP17:KWQ17"/>
    <mergeCell ref="KWY17:KWZ17"/>
    <mergeCell ref="KTD17:KTE17"/>
    <mergeCell ref="KTM17:KTN17"/>
    <mergeCell ref="KTV17:KTW17"/>
    <mergeCell ref="KUE17:KUF17"/>
    <mergeCell ref="KUN17:KUO17"/>
    <mergeCell ref="KUW17:KUX17"/>
    <mergeCell ref="LDN17:LDO17"/>
    <mergeCell ref="LDW17:LDX17"/>
    <mergeCell ref="LEF17:LEG17"/>
    <mergeCell ref="LEO17:LEP17"/>
    <mergeCell ref="LEX17:LEY17"/>
    <mergeCell ref="LFG17:LFH17"/>
    <mergeCell ref="LBL17:LBM17"/>
    <mergeCell ref="LBU17:LBV17"/>
    <mergeCell ref="LCD17:LCE17"/>
    <mergeCell ref="LCM17:LCN17"/>
    <mergeCell ref="LCV17:LCW17"/>
    <mergeCell ref="LDE17:LDF17"/>
    <mergeCell ref="KZJ17:KZK17"/>
    <mergeCell ref="KZS17:KZT17"/>
    <mergeCell ref="LAB17:LAC17"/>
    <mergeCell ref="LAK17:LAL17"/>
    <mergeCell ref="LAT17:LAU17"/>
    <mergeCell ref="LBC17:LBD17"/>
    <mergeCell ref="LJT17:LJU17"/>
    <mergeCell ref="LKC17:LKD17"/>
    <mergeCell ref="LKL17:LKM17"/>
    <mergeCell ref="LKU17:LKV17"/>
    <mergeCell ref="LLD17:LLE17"/>
    <mergeCell ref="LLM17:LLN17"/>
    <mergeCell ref="LHR17:LHS17"/>
    <mergeCell ref="LIA17:LIB17"/>
    <mergeCell ref="LIJ17:LIK17"/>
    <mergeCell ref="LIS17:LIT17"/>
    <mergeCell ref="LJB17:LJC17"/>
    <mergeCell ref="LJK17:LJL17"/>
    <mergeCell ref="LFP17:LFQ17"/>
    <mergeCell ref="LFY17:LFZ17"/>
    <mergeCell ref="LGH17:LGI17"/>
    <mergeCell ref="LGQ17:LGR17"/>
    <mergeCell ref="LGZ17:LHA17"/>
    <mergeCell ref="LHI17:LHJ17"/>
    <mergeCell ref="LPZ17:LQA17"/>
    <mergeCell ref="LQI17:LQJ17"/>
    <mergeCell ref="LQR17:LQS17"/>
    <mergeCell ref="LRA17:LRB17"/>
    <mergeCell ref="LRJ17:LRK17"/>
    <mergeCell ref="LRS17:LRT17"/>
    <mergeCell ref="LNX17:LNY17"/>
    <mergeCell ref="LOG17:LOH17"/>
    <mergeCell ref="LOP17:LOQ17"/>
    <mergeCell ref="LOY17:LOZ17"/>
    <mergeCell ref="LPH17:LPI17"/>
    <mergeCell ref="LPQ17:LPR17"/>
    <mergeCell ref="LLV17:LLW17"/>
    <mergeCell ref="LME17:LMF17"/>
    <mergeCell ref="LMN17:LMO17"/>
    <mergeCell ref="LMW17:LMX17"/>
    <mergeCell ref="LNF17:LNG17"/>
    <mergeCell ref="LNO17:LNP17"/>
    <mergeCell ref="LWF17:LWG17"/>
    <mergeCell ref="LWO17:LWP17"/>
    <mergeCell ref="LWX17:LWY17"/>
    <mergeCell ref="LXG17:LXH17"/>
    <mergeCell ref="LXP17:LXQ17"/>
    <mergeCell ref="LXY17:LXZ17"/>
    <mergeCell ref="LUD17:LUE17"/>
    <mergeCell ref="LUM17:LUN17"/>
    <mergeCell ref="LUV17:LUW17"/>
    <mergeCell ref="LVE17:LVF17"/>
    <mergeCell ref="LVN17:LVO17"/>
    <mergeCell ref="LVW17:LVX17"/>
    <mergeCell ref="LSB17:LSC17"/>
    <mergeCell ref="LSK17:LSL17"/>
    <mergeCell ref="LST17:LSU17"/>
    <mergeCell ref="LTC17:LTD17"/>
    <mergeCell ref="LTL17:LTM17"/>
    <mergeCell ref="LTU17:LTV17"/>
    <mergeCell ref="MCL17:MCM17"/>
    <mergeCell ref="MCU17:MCV17"/>
    <mergeCell ref="MDD17:MDE17"/>
    <mergeCell ref="MDM17:MDN17"/>
    <mergeCell ref="MDV17:MDW17"/>
    <mergeCell ref="MEE17:MEF17"/>
    <mergeCell ref="MAJ17:MAK17"/>
    <mergeCell ref="MAS17:MAT17"/>
    <mergeCell ref="MBB17:MBC17"/>
    <mergeCell ref="MBK17:MBL17"/>
    <mergeCell ref="MBT17:MBU17"/>
    <mergeCell ref="MCC17:MCD17"/>
    <mergeCell ref="LYH17:LYI17"/>
    <mergeCell ref="LYQ17:LYR17"/>
    <mergeCell ref="LYZ17:LZA17"/>
    <mergeCell ref="LZI17:LZJ17"/>
    <mergeCell ref="LZR17:LZS17"/>
    <mergeCell ref="MAA17:MAB17"/>
    <mergeCell ref="MIR17:MIS17"/>
    <mergeCell ref="MJA17:MJB17"/>
    <mergeCell ref="MJJ17:MJK17"/>
    <mergeCell ref="MJS17:MJT17"/>
    <mergeCell ref="MKB17:MKC17"/>
    <mergeCell ref="MKK17:MKL17"/>
    <mergeCell ref="MGP17:MGQ17"/>
    <mergeCell ref="MGY17:MGZ17"/>
    <mergeCell ref="MHH17:MHI17"/>
    <mergeCell ref="MHQ17:MHR17"/>
    <mergeCell ref="MHZ17:MIA17"/>
    <mergeCell ref="MII17:MIJ17"/>
    <mergeCell ref="MEN17:MEO17"/>
    <mergeCell ref="MEW17:MEX17"/>
    <mergeCell ref="MFF17:MFG17"/>
    <mergeCell ref="MFO17:MFP17"/>
    <mergeCell ref="MFX17:MFY17"/>
    <mergeCell ref="MGG17:MGH17"/>
    <mergeCell ref="MOX17:MOY17"/>
    <mergeCell ref="MPG17:MPH17"/>
    <mergeCell ref="MPP17:MPQ17"/>
    <mergeCell ref="MPY17:MPZ17"/>
    <mergeCell ref="MQH17:MQI17"/>
    <mergeCell ref="MQQ17:MQR17"/>
    <mergeCell ref="MMV17:MMW17"/>
    <mergeCell ref="MNE17:MNF17"/>
    <mergeCell ref="MNN17:MNO17"/>
    <mergeCell ref="MNW17:MNX17"/>
    <mergeCell ref="MOF17:MOG17"/>
    <mergeCell ref="MOO17:MOP17"/>
    <mergeCell ref="MKT17:MKU17"/>
    <mergeCell ref="MLC17:MLD17"/>
    <mergeCell ref="MLL17:MLM17"/>
    <mergeCell ref="MLU17:MLV17"/>
    <mergeCell ref="MMD17:MME17"/>
    <mergeCell ref="MMM17:MMN17"/>
    <mergeCell ref="MVD17:MVE17"/>
    <mergeCell ref="MVM17:MVN17"/>
    <mergeCell ref="MVV17:MVW17"/>
    <mergeCell ref="MWE17:MWF17"/>
    <mergeCell ref="MWN17:MWO17"/>
    <mergeCell ref="MWW17:MWX17"/>
    <mergeCell ref="MTB17:MTC17"/>
    <mergeCell ref="MTK17:MTL17"/>
    <mergeCell ref="MTT17:MTU17"/>
    <mergeCell ref="MUC17:MUD17"/>
    <mergeCell ref="MUL17:MUM17"/>
    <mergeCell ref="MUU17:MUV17"/>
    <mergeCell ref="MQZ17:MRA17"/>
    <mergeCell ref="MRI17:MRJ17"/>
    <mergeCell ref="MRR17:MRS17"/>
    <mergeCell ref="MSA17:MSB17"/>
    <mergeCell ref="MSJ17:MSK17"/>
    <mergeCell ref="MSS17:MST17"/>
    <mergeCell ref="NBJ17:NBK17"/>
    <mergeCell ref="NBS17:NBT17"/>
    <mergeCell ref="NCB17:NCC17"/>
    <mergeCell ref="NCK17:NCL17"/>
    <mergeCell ref="NCT17:NCU17"/>
    <mergeCell ref="NDC17:NDD17"/>
    <mergeCell ref="MZH17:MZI17"/>
    <mergeCell ref="MZQ17:MZR17"/>
    <mergeCell ref="MZZ17:NAA17"/>
    <mergeCell ref="NAI17:NAJ17"/>
    <mergeCell ref="NAR17:NAS17"/>
    <mergeCell ref="NBA17:NBB17"/>
    <mergeCell ref="MXF17:MXG17"/>
    <mergeCell ref="MXO17:MXP17"/>
    <mergeCell ref="MXX17:MXY17"/>
    <mergeCell ref="MYG17:MYH17"/>
    <mergeCell ref="MYP17:MYQ17"/>
    <mergeCell ref="MYY17:MYZ17"/>
    <mergeCell ref="NHP17:NHQ17"/>
    <mergeCell ref="NHY17:NHZ17"/>
    <mergeCell ref="NIH17:NII17"/>
    <mergeCell ref="NIQ17:NIR17"/>
    <mergeCell ref="NIZ17:NJA17"/>
    <mergeCell ref="NJI17:NJJ17"/>
    <mergeCell ref="NFN17:NFO17"/>
    <mergeCell ref="NFW17:NFX17"/>
    <mergeCell ref="NGF17:NGG17"/>
    <mergeCell ref="NGO17:NGP17"/>
    <mergeCell ref="NGX17:NGY17"/>
    <mergeCell ref="NHG17:NHH17"/>
    <mergeCell ref="NDL17:NDM17"/>
    <mergeCell ref="NDU17:NDV17"/>
    <mergeCell ref="NED17:NEE17"/>
    <mergeCell ref="NEM17:NEN17"/>
    <mergeCell ref="NEV17:NEW17"/>
    <mergeCell ref="NFE17:NFF17"/>
    <mergeCell ref="NNV17:NNW17"/>
    <mergeCell ref="NOE17:NOF17"/>
    <mergeCell ref="NON17:NOO17"/>
    <mergeCell ref="NOW17:NOX17"/>
    <mergeCell ref="NPF17:NPG17"/>
    <mergeCell ref="NPO17:NPP17"/>
    <mergeCell ref="NLT17:NLU17"/>
    <mergeCell ref="NMC17:NMD17"/>
    <mergeCell ref="NML17:NMM17"/>
    <mergeCell ref="NMU17:NMV17"/>
    <mergeCell ref="NND17:NNE17"/>
    <mergeCell ref="NNM17:NNN17"/>
    <mergeCell ref="NJR17:NJS17"/>
    <mergeCell ref="NKA17:NKB17"/>
    <mergeCell ref="NKJ17:NKK17"/>
    <mergeCell ref="NKS17:NKT17"/>
    <mergeCell ref="NLB17:NLC17"/>
    <mergeCell ref="NLK17:NLL17"/>
    <mergeCell ref="NUB17:NUC17"/>
    <mergeCell ref="NUK17:NUL17"/>
    <mergeCell ref="NUT17:NUU17"/>
    <mergeCell ref="NVC17:NVD17"/>
    <mergeCell ref="NVL17:NVM17"/>
    <mergeCell ref="NVU17:NVV17"/>
    <mergeCell ref="NRZ17:NSA17"/>
    <mergeCell ref="NSI17:NSJ17"/>
    <mergeCell ref="NSR17:NSS17"/>
    <mergeCell ref="NTA17:NTB17"/>
    <mergeCell ref="NTJ17:NTK17"/>
    <mergeCell ref="NTS17:NTT17"/>
    <mergeCell ref="NPX17:NPY17"/>
    <mergeCell ref="NQG17:NQH17"/>
    <mergeCell ref="NQP17:NQQ17"/>
    <mergeCell ref="NQY17:NQZ17"/>
    <mergeCell ref="NRH17:NRI17"/>
    <mergeCell ref="NRQ17:NRR17"/>
    <mergeCell ref="OAH17:OAI17"/>
    <mergeCell ref="OAQ17:OAR17"/>
    <mergeCell ref="OAZ17:OBA17"/>
    <mergeCell ref="OBI17:OBJ17"/>
    <mergeCell ref="OBR17:OBS17"/>
    <mergeCell ref="OCA17:OCB17"/>
    <mergeCell ref="NYF17:NYG17"/>
    <mergeCell ref="NYO17:NYP17"/>
    <mergeCell ref="NYX17:NYY17"/>
    <mergeCell ref="NZG17:NZH17"/>
    <mergeCell ref="NZP17:NZQ17"/>
    <mergeCell ref="NZY17:NZZ17"/>
    <mergeCell ref="NWD17:NWE17"/>
    <mergeCell ref="NWM17:NWN17"/>
    <mergeCell ref="NWV17:NWW17"/>
    <mergeCell ref="NXE17:NXF17"/>
    <mergeCell ref="NXN17:NXO17"/>
    <mergeCell ref="NXW17:NXX17"/>
    <mergeCell ref="OGN17:OGO17"/>
    <mergeCell ref="OGW17:OGX17"/>
    <mergeCell ref="OHF17:OHG17"/>
    <mergeCell ref="OHO17:OHP17"/>
    <mergeCell ref="OHX17:OHY17"/>
    <mergeCell ref="OIG17:OIH17"/>
    <mergeCell ref="OEL17:OEM17"/>
    <mergeCell ref="OEU17:OEV17"/>
    <mergeCell ref="OFD17:OFE17"/>
    <mergeCell ref="OFM17:OFN17"/>
    <mergeCell ref="OFV17:OFW17"/>
    <mergeCell ref="OGE17:OGF17"/>
    <mergeCell ref="OCJ17:OCK17"/>
    <mergeCell ref="OCS17:OCT17"/>
    <mergeCell ref="ODB17:ODC17"/>
    <mergeCell ref="ODK17:ODL17"/>
    <mergeCell ref="ODT17:ODU17"/>
    <mergeCell ref="OEC17:OED17"/>
    <mergeCell ref="OMT17:OMU17"/>
    <mergeCell ref="ONC17:OND17"/>
    <mergeCell ref="ONL17:ONM17"/>
    <mergeCell ref="ONU17:ONV17"/>
    <mergeCell ref="OOD17:OOE17"/>
    <mergeCell ref="OOM17:OON17"/>
    <mergeCell ref="OKR17:OKS17"/>
    <mergeCell ref="OLA17:OLB17"/>
    <mergeCell ref="OLJ17:OLK17"/>
    <mergeCell ref="OLS17:OLT17"/>
    <mergeCell ref="OMB17:OMC17"/>
    <mergeCell ref="OMK17:OML17"/>
    <mergeCell ref="OIP17:OIQ17"/>
    <mergeCell ref="OIY17:OIZ17"/>
    <mergeCell ref="OJH17:OJI17"/>
    <mergeCell ref="OJQ17:OJR17"/>
    <mergeCell ref="OJZ17:OKA17"/>
    <mergeCell ref="OKI17:OKJ17"/>
    <mergeCell ref="OSZ17:OTA17"/>
    <mergeCell ref="OTI17:OTJ17"/>
    <mergeCell ref="OTR17:OTS17"/>
    <mergeCell ref="OUA17:OUB17"/>
    <mergeCell ref="OUJ17:OUK17"/>
    <mergeCell ref="OUS17:OUT17"/>
    <mergeCell ref="OQX17:OQY17"/>
    <mergeCell ref="ORG17:ORH17"/>
    <mergeCell ref="ORP17:ORQ17"/>
    <mergeCell ref="ORY17:ORZ17"/>
    <mergeCell ref="OSH17:OSI17"/>
    <mergeCell ref="OSQ17:OSR17"/>
    <mergeCell ref="OOV17:OOW17"/>
    <mergeCell ref="OPE17:OPF17"/>
    <mergeCell ref="OPN17:OPO17"/>
    <mergeCell ref="OPW17:OPX17"/>
    <mergeCell ref="OQF17:OQG17"/>
    <mergeCell ref="OQO17:OQP17"/>
    <mergeCell ref="OZF17:OZG17"/>
    <mergeCell ref="OZO17:OZP17"/>
    <mergeCell ref="OZX17:OZY17"/>
    <mergeCell ref="PAG17:PAH17"/>
    <mergeCell ref="PAP17:PAQ17"/>
    <mergeCell ref="PAY17:PAZ17"/>
    <mergeCell ref="OXD17:OXE17"/>
    <mergeCell ref="OXM17:OXN17"/>
    <mergeCell ref="OXV17:OXW17"/>
    <mergeCell ref="OYE17:OYF17"/>
    <mergeCell ref="OYN17:OYO17"/>
    <mergeCell ref="OYW17:OYX17"/>
    <mergeCell ref="OVB17:OVC17"/>
    <mergeCell ref="OVK17:OVL17"/>
    <mergeCell ref="OVT17:OVU17"/>
    <mergeCell ref="OWC17:OWD17"/>
    <mergeCell ref="OWL17:OWM17"/>
    <mergeCell ref="OWU17:OWV17"/>
    <mergeCell ref="PFL17:PFM17"/>
    <mergeCell ref="PFU17:PFV17"/>
    <mergeCell ref="PGD17:PGE17"/>
    <mergeCell ref="PGM17:PGN17"/>
    <mergeCell ref="PGV17:PGW17"/>
    <mergeCell ref="PHE17:PHF17"/>
    <mergeCell ref="PDJ17:PDK17"/>
    <mergeCell ref="PDS17:PDT17"/>
    <mergeCell ref="PEB17:PEC17"/>
    <mergeCell ref="PEK17:PEL17"/>
    <mergeCell ref="PET17:PEU17"/>
    <mergeCell ref="PFC17:PFD17"/>
    <mergeCell ref="PBH17:PBI17"/>
    <mergeCell ref="PBQ17:PBR17"/>
    <mergeCell ref="PBZ17:PCA17"/>
    <mergeCell ref="PCI17:PCJ17"/>
    <mergeCell ref="PCR17:PCS17"/>
    <mergeCell ref="PDA17:PDB17"/>
    <mergeCell ref="PLR17:PLS17"/>
    <mergeCell ref="PMA17:PMB17"/>
    <mergeCell ref="PMJ17:PMK17"/>
    <mergeCell ref="PMS17:PMT17"/>
    <mergeCell ref="PNB17:PNC17"/>
    <mergeCell ref="PNK17:PNL17"/>
    <mergeCell ref="PJP17:PJQ17"/>
    <mergeCell ref="PJY17:PJZ17"/>
    <mergeCell ref="PKH17:PKI17"/>
    <mergeCell ref="PKQ17:PKR17"/>
    <mergeCell ref="PKZ17:PLA17"/>
    <mergeCell ref="PLI17:PLJ17"/>
    <mergeCell ref="PHN17:PHO17"/>
    <mergeCell ref="PHW17:PHX17"/>
    <mergeCell ref="PIF17:PIG17"/>
    <mergeCell ref="PIO17:PIP17"/>
    <mergeCell ref="PIX17:PIY17"/>
    <mergeCell ref="PJG17:PJH17"/>
    <mergeCell ref="PRX17:PRY17"/>
    <mergeCell ref="PSG17:PSH17"/>
    <mergeCell ref="PSP17:PSQ17"/>
    <mergeCell ref="PSY17:PSZ17"/>
    <mergeCell ref="PTH17:PTI17"/>
    <mergeCell ref="PTQ17:PTR17"/>
    <mergeCell ref="PPV17:PPW17"/>
    <mergeCell ref="PQE17:PQF17"/>
    <mergeCell ref="PQN17:PQO17"/>
    <mergeCell ref="PQW17:PQX17"/>
    <mergeCell ref="PRF17:PRG17"/>
    <mergeCell ref="PRO17:PRP17"/>
    <mergeCell ref="PNT17:PNU17"/>
    <mergeCell ref="POC17:POD17"/>
    <mergeCell ref="POL17:POM17"/>
    <mergeCell ref="POU17:POV17"/>
    <mergeCell ref="PPD17:PPE17"/>
    <mergeCell ref="PPM17:PPN17"/>
    <mergeCell ref="PYD17:PYE17"/>
    <mergeCell ref="PYM17:PYN17"/>
    <mergeCell ref="PYV17:PYW17"/>
    <mergeCell ref="PZE17:PZF17"/>
    <mergeCell ref="PZN17:PZO17"/>
    <mergeCell ref="PZW17:PZX17"/>
    <mergeCell ref="PWB17:PWC17"/>
    <mergeCell ref="PWK17:PWL17"/>
    <mergeCell ref="PWT17:PWU17"/>
    <mergeCell ref="PXC17:PXD17"/>
    <mergeCell ref="PXL17:PXM17"/>
    <mergeCell ref="PXU17:PXV17"/>
    <mergeCell ref="PTZ17:PUA17"/>
    <mergeCell ref="PUI17:PUJ17"/>
    <mergeCell ref="PUR17:PUS17"/>
    <mergeCell ref="PVA17:PVB17"/>
    <mergeCell ref="PVJ17:PVK17"/>
    <mergeCell ref="PVS17:PVT17"/>
    <mergeCell ref="QEJ17:QEK17"/>
    <mergeCell ref="QES17:QET17"/>
    <mergeCell ref="QFB17:QFC17"/>
    <mergeCell ref="QFK17:QFL17"/>
    <mergeCell ref="QFT17:QFU17"/>
    <mergeCell ref="QGC17:QGD17"/>
    <mergeCell ref="QCH17:QCI17"/>
    <mergeCell ref="QCQ17:QCR17"/>
    <mergeCell ref="QCZ17:QDA17"/>
    <mergeCell ref="QDI17:QDJ17"/>
    <mergeCell ref="QDR17:QDS17"/>
    <mergeCell ref="QEA17:QEB17"/>
    <mergeCell ref="QAF17:QAG17"/>
    <mergeCell ref="QAO17:QAP17"/>
    <mergeCell ref="QAX17:QAY17"/>
    <mergeCell ref="QBG17:QBH17"/>
    <mergeCell ref="QBP17:QBQ17"/>
    <mergeCell ref="QBY17:QBZ17"/>
    <mergeCell ref="QKP17:QKQ17"/>
    <mergeCell ref="QKY17:QKZ17"/>
    <mergeCell ref="QLH17:QLI17"/>
    <mergeCell ref="QLQ17:QLR17"/>
    <mergeCell ref="QLZ17:QMA17"/>
    <mergeCell ref="QMI17:QMJ17"/>
    <mergeCell ref="QIN17:QIO17"/>
    <mergeCell ref="QIW17:QIX17"/>
    <mergeCell ref="QJF17:QJG17"/>
    <mergeCell ref="QJO17:QJP17"/>
    <mergeCell ref="QJX17:QJY17"/>
    <mergeCell ref="QKG17:QKH17"/>
    <mergeCell ref="QGL17:QGM17"/>
    <mergeCell ref="QGU17:QGV17"/>
    <mergeCell ref="QHD17:QHE17"/>
    <mergeCell ref="QHM17:QHN17"/>
    <mergeCell ref="QHV17:QHW17"/>
    <mergeCell ref="QIE17:QIF17"/>
    <mergeCell ref="QQV17:QQW17"/>
    <mergeCell ref="QRE17:QRF17"/>
    <mergeCell ref="QRN17:QRO17"/>
    <mergeCell ref="QRW17:QRX17"/>
    <mergeCell ref="QSF17:QSG17"/>
    <mergeCell ref="QSO17:QSP17"/>
    <mergeCell ref="QOT17:QOU17"/>
    <mergeCell ref="QPC17:QPD17"/>
    <mergeCell ref="QPL17:QPM17"/>
    <mergeCell ref="QPU17:QPV17"/>
    <mergeCell ref="QQD17:QQE17"/>
    <mergeCell ref="QQM17:QQN17"/>
    <mergeCell ref="QMR17:QMS17"/>
    <mergeCell ref="QNA17:QNB17"/>
    <mergeCell ref="QNJ17:QNK17"/>
    <mergeCell ref="QNS17:QNT17"/>
    <mergeCell ref="QOB17:QOC17"/>
    <mergeCell ref="QOK17:QOL17"/>
    <mergeCell ref="QXB17:QXC17"/>
    <mergeCell ref="QXK17:QXL17"/>
    <mergeCell ref="QXT17:QXU17"/>
    <mergeCell ref="QYC17:QYD17"/>
    <mergeCell ref="QYL17:QYM17"/>
    <mergeCell ref="QYU17:QYV17"/>
    <mergeCell ref="QUZ17:QVA17"/>
    <mergeCell ref="QVI17:QVJ17"/>
    <mergeCell ref="QVR17:QVS17"/>
    <mergeCell ref="QWA17:QWB17"/>
    <mergeCell ref="QWJ17:QWK17"/>
    <mergeCell ref="QWS17:QWT17"/>
    <mergeCell ref="QSX17:QSY17"/>
    <mergeCell ref="QTG17:QTH17"/>
    <mergeCell ref="QTP17:QTQ17"/>
    <mergeCell ref="QTY17:QTZ17"/>
    <mergeCell ref="QUH17:QUI17"/>
    <mergeCell ref="QUQ17:QUR17"/>
    <mergeCell ref="RDH17:RDI17"/>
    <mergeCell ref="RDQ17:RDR17"/>
    <mergeCell ref="RDZ17:REA17"/>
    <mergeCell ref="REI17:REJ17"/>
    <mergeCell ref="RER17:RES17"/>
    <mergeCell ref="RFA17:RFB17"/>
    <mergeCell ref="RBF17:RBG17"/>
    <mergeCell ref="RBO17:RBP17"/>
    <mergeCell ref="RBX17:RBY17"/>
    <mergeCell ref="RCG17:RCH17"/>
    <mergeCell ref="RCP17:RCQ17"/>
    <mergeCell ref="RCY17:RCZ17"/>
    <mergeCell ref="QZD17:QZE17"/>
    <mergeCell ref="QZM17:QZN17"/>
    <mergeCell ref="QZV17:QZW17"/>
    <mergeCell ref="RAE17:RAF17"/>
    <mergeCell ref="RAN17:RAO17"/>
    <mergeCell ref="RAW17:RAX17"/>
    <mergeCell ref="RJN17:RJO17"/>
    <mergeCell ref="RJW17:RJX17"/>
    <mergeCell ref="RKF17:RKG17"/>
    <mergeCell ref="RKO17:RKP17"/>
    <mergeCell ref="RKX17:RKY17"/>
    <mergeCell ref="RLG17:RLH17"/>
    <mergeCell ref="RHL17:RHM17"/>
    <mergeCell ref="RHU17:RHV17"/>
    <mergeCell ref="RID17:RIE17"/>
    <mergeCell ref="RIM17:RIN17"/>
    <mergeCell ref="RIV17:RIW17"/>
    <mergeCell ref="RJE17:RJF17"/>
    <mergeCell ref="RFJ17:RFK17"/>
    <mergeCell ref="RFS17:RFT17"/>
    <mergeCell ref="RGB17:RGC17"/>
    <mergeCell ref="RGK17:RGL17"/>
    <mergeCell ref="RGT17:RGU17"/>
    <mergeCell ref="RHC17:RHD17"/>
    <mergeCell ref="RPT17:RPU17"/>
    <mergeCell ref="RQC17:RQD17"/>
    <mergeCell ref="RQL17:RQM17"/>
    <mergeCell ref="RQU17:RQV17"/>
    <mergeCell ref="RRD17:RRE17"/>
    <mergeCell ref="RRM17:RRN17"/>
    <mergeCell ref="RNR17:RNS17"/>
    <mergeCell ref="ROA17:ROB17"/>
    <mergeCell ref="ROJ17:ROK17"/>
    <mergeCell ref="ROS17:ROT17"/>
    <mergeCell ref="RPB17:RPC17"/>
    <mergeCell ref="RPK17:RPL17"/>
    <mergeCell ref="RLP17:RLQ17"/>
    <mergeCell ref="RLY17:RLZ17"/>
    <mergeCell ref="RMH17:RMI17"/>
    <mergeCell ref="RMQ17:RMR17"/>
    <mergeCell ref="RMZ17:RNA17"/>
    <mergeCell ref="RNI17:RNJ17"/>
    <mergeCell ref="RVZ17:RWA17"/>
    <mergeCell ref="RWI17:RWJ17"/>
    <mergeCell ref="RWR17:RWS17"/>
    <mergeCell ref="RXA17:RXB17"/>
    <mergeCell ref="RXJ17:RXK17"/>
    <mergeCell ref="RXS17:RXT17"/>
    <mergeCell ref="RTX17:RTY17"/>
    <mergeCell ref="RUG17:RUH17"/>
    <mergeCell ref="RUP17:RUQ17"/>
    <mergeCell ref="RUY17:RUZ17"/>
    <mergeCell ref="RVH17:RVI17"/>
    <mergeCell ref="RVQ17:RVR17"/>
    <mergeCell ref="RRV17:RRW17"/>
    <mergeCell ref="RSE17:RSF17"/>
    <mergeCell ref="RSN17:RSO17"/>
    <mergeCell ref="RSW17:RSX17"/>
    <mergeCell ref="RTF17:RTG17"/>
    <mergeCell ref="RTO17:RTP17"/>
    <mergeCell ref="SCF17:SCG17"/>
    <mergeCell ref="SCO17:SCP17"/>
    <mergeCell ref="SCX17:SCY17"/>
    <mergeCell ref="SDG17:SDH17"/>
    <mergeCell ref="SDP17:SDQ17"/>
    <mergeCell ref="SDY17:SDZ17"/>
    <mergeCell ref="SAD17:SAE17"/>
    <mergeCell ref="SAM17:SAN17"/>
    <mergeCell ref="SAV17:SAW17"/>
    <mergeCell ref="SBE17:SBF17"/>
    <mergeCell ref="SBN17:SBO17"/>
    <mergeCell ref="SBW17:SBX17"/>
    <mergeCell ref="RYB17:RYC17"/>
    <mergeCell ref="RYK17:RYL17"/>
    <mergeCell ref="RYT17:RYU17"/>
    <mergeCell ref="RZC17:RZD17"/>
    <mergeCell ref="RZL17:RZM17"/>
    <mergeCell ref="RZU17:RZV17"/>
    <mergeCell ref="SIL17:SIM17"/>
    <mergeCell ref="SIU17:SIV17"/>
    <mergeCell ref="SJD17:SJE17"/>
    <mergeCell ref="SJM17:SJN17"/>
    <mergeCell ref="SJV17:SJW17"/>
    <mergeCell ref="SKE17:SKF17"/>
    <mergeCell ref="SGJ17:SGK17"/>
    <mergeCell ref="SGS17:SGT17"/>
    <mergeCell ref="SHB17:SHC17"/>
    <mergeCell ref="SHK17:SHL17"/>
    <mergeCell ref="SHT17:SHU17"/>
    <mergeCell ref="SIC17:SID17"/>
    <mergeCell ref="SEH17:SEI17"/>
    <mergeCell ref="SEQ17:SER17"/>
    <mergeCell ref="SEZ17:SFA17"/>
    <mergeCell ref="SFI17:SFJ17"/>
    <mergeCell ref="SFR17:SFS17"/>
    <mergeCell ref="SGA17:SGB17"/>
    <mergeCell ref="SOR17:SOS17"/>
    <mergeCell ref="SPA17:SPB17"/>
    <mergeCell ref="SPJ17:SPK17"/>
    <mergeCell ref="SPS17:SPT17"/>
    <mergeCell ref="SQB17:SQC17"/>
    <mergeCell ref="SQK17:SQL17"/>
    <mergeCell ref="SMP17:SMQ17"/>
    <mergeCell ref="SMY17:SMZ17"/>
    <mergeCell ref="SNH17:SNI17"/>
    <mergeCell ref="SNQ17:SNR17"/>
    <mergeCell ref="SNZ17:SOA17"/>
    <mergeCell ref="SOI17:SOJ17"/>
    <mergeCell ref="SKN17:SKO17"/>
    <mergeCell ref="SKW17:SKX17"/>
    <mergeCell ref="SLF17:SLG17"/>
    <mergeCell ref="SLO17:SLP17"/>
    <mergeCell ref="SLX17:SLY17"/>
    <mergeCell ref="SMG17:SMH17"/>
    <mergeCell ref="SUX17:SUY17"/>
    <mergeCell ref="SVG17:SVH17"/>
    <mergeCell ref="SVP17:SVQ17"/>
    <mergeCell ref="SVY17:SVZ17"/>
    <mergeCell ref="SWH17:SWI17"/>
    <mergeCell ref="SWQ17:SWR17"/>
    <mergeCell ref="SSV17:SSW17"/>
    <mergeCell ref="STE17:STF17"/>
    <mergeCell ref="STN17:STO17"/>
    <mergeCell ref="STW17:STX17"/>
    <mergeCell ref="SUF17:SUG17"/>
    <mergeCell ref="SUO17:SUP17"/>
    <mergeCell ref="SQT17:SQU17"/>
    <mergeCell ref="SRC17:SRD17"/>
    <mergeCell ref="SRL17:SRM17"/>
    <mergeCell ref="SRU17:SRV17"/>
    <mergeCell ref="SSD17:SSE17"/>
    <mergeCell ref="SSM17:SSN17"/>
    <mergeCell ref="TBD17:TBE17"/>
    <mergeCell ref="TBM17:TBN17"/>
    <mergeCell ref="TBV17:TBW17"/>
    <mergeCell ref="TCE17:TCF17"/>
    <mergeCell ref="TCN17:TCO17"/>
    <mergeCell ref="TCW17:TCX17"/>
    <mergeCell ref="SZB17:SZC17"/>
    <mergeCell ref="SZK17:SZL17"/>
    <mergeCell ref="SZT17:SZU17"/>
    <mergeCell ref="TAC17:TAD17"/>
    <mergeCell ref="TAL17:TAM17"/>
    <mergeCell ref="TAU17:TAV17"/>
    <mergeCell ref="SWZ17:SXA17"/>
    <mergeCell ref="SXI17:SXJ17"/>
    <mergeCell ref="SXR17:SXS17"/>
    <mergeCell ref="SYA17:SYB17"/>
    <mergeCell ref="SYJ17:SYK17"/>
    <mergeCell ref="SYS17:SYT17"/>
    <mergeCell ref="THJ17:THK17"/>
    <mergeCell ref="THS17:THT17"/>
    <mergeCell ref="TIB17:TIC17"/>
    <mergeCell ref="TIK17:TIL17"/>
    <mergeCell ref="TIT17:TIU17"/>
    <mergeCell ref="TJC17:TJD17"/>
    <mergeCell ref="TFH17:TFI17"/>
    <mergeCell ref="TFQ17:TFR17"/>
    <mergeCell ref="TFZ17:TGA17"/>
    <mergeCell ref="TGI17:TGJ17"/>
    <mergeCell ref="TGR17:TGS17"/>
    <mergeCell ref="THA17:THB17"/>
    <mergeCell ref="TDF17:TDG17"/>
    <mergeCell ref="TDO17:TDP17"/>
    <mergeCell ref="TDX17:TDY17"/>
    <mergeCell ref="TEG17:TEH17"/>
    <mergeCell ref="TEP17:TEQ17"/>
    <mergeCell ref="TEY17:TEZ17"/>
    <mergeCell ref="TNP17:TNQ17"/>
    <mergeCell ref="TNY17:TNZ17"/>
    <mergeCell ref="TOH17:TOI17"/>
    <mergeCell ref="TOQ17:TOR17"/>
    <mergeCell ref="TOZ17:TPA17"/>
    <mergeCell ref="TPI17:TPJ17"/>
    <mergeCell ref="TLN17:TLO17"/>
    <mergeCell ref="TLW17:TLX17"/>
    <mergeCell ref="TMF17:TMG17"/>
    <mergeCell ref="TMO17:TMP17"/>
    <mergeCell ref="TMX17:TMY17"/>
    <mergeCell ref="TNG17:TNH17"/>
    <mergeCell ref="TJL17:TJM17"/>
    <mergeCell ref="TJU17:TJV17"/>
    <mergeCell ref="TKD17:TKE17"/>
    <mergeCell ref="TKM17:TKN17"/>
    <mergeCell ref="TKV17:TKW17"/>
    <mergeCell ref="TLE17:TLF17"/>
    <mergeCell ref="TTV17:TTW17"/>
    <mergeCell ref="TUE17:TUF17"/>
    <mergeCell ref="TUN17:TUO17"/>
    <mergeCell ref="TUW17:TUX17"/>
    <mergeCell ref="TVF17:TVG17"/>
    <mergeCell ref="TVO17:TVP17"/>
    <mergeCell ref="TRT17:TRU17"/>
    <mergeCell ref="TSC17:TSD17"/>
    <mergeCell ref="TSL17:TSM17"/>
    <mergeCell ref="TSU17:TSV17"/>
    <mergeCell ref="TTD17:TTE17"/>
    <mergeCell ref="TTM17:TTN17"/>
    <mergeCell ref="TPR17:TPS17"/>
    <mergeCell ref="TQA17:TQB17"/>
    <mergeCell ref="TQJ17:TQK17"/>
    <mergeCell ref="TQS17:TQT17"/>
    <mergeCell ref="TRB17:TRC17"/>
    <mergeCell ref="TRK17:TRL17"/>
    <mergeCell ref="UAB17:UAC17"/>
    <mergeCell ref="UAK17:UAL17"/>
    <mergeCell ref="UAT17:UAU17"/>
    <mergeCell ref="UBC17:UBD17"/>
    <mergeCell ref="UBL17:UBM17"/>
    <mergeCell ref="UBU17:UBV17"/>
    <mergeCell ref="TXZ17:TYA17"/>
    <mergeCell ref="TYI17:TYJ17"/>
    <mergeCell ref="TYR17:TYS17"/>
    <mergeCell ref="TZA17:TZB17"/>
    <mergeCell ref="TZJ17:TZK17"/>
    <mergeCell ref="TZS17:TZT17"/>
    <mergeCell ref="TVX17:TVY17"/>
    <mergeCell ref="TWG17:TWH17"/>
    <mergeCell ref="TWP17:TWQ17"/>
    <mergeCell ref="TWY17:TWZ17"/>
    <mergeCell ref="TXH17:TXI17"/>
    <mergeCell ref="TXQ17:TXR17"/>
    <mergeCell ref="UGH17:UGI17"/>
    <mergeCell ref="UGQ17:UGR17"/>
    <mergeCell ref="UGZ17:UHA17"/>
    <mergeCell ref="UHI17:UHJ17"/>
    <mergeCell ref="UHR17:UHS17"/>
    <mergeCell ref="UIA17:UIB17"/>
    <mergeCell ref="UEF17:UEG17"/>
    <mergeCell ref="UEO17:UEP17"/>
    <mergeCell ref="UEX17:UEY17"/>
    <mergeCell ref="UFG17:UFH17"/>
    <mergeCell ref="UFP17:UFQ17"/>
    <mergeCell ref="UFY17:UFZ17"/>
    <mergeCell ref="UCD17:UCE17"/>
    <mergeCell ref="UCM17:UCN17"/>
    <mergeCell ref="UCV17:UCW17"/>
    <mergeCell ref="UDE17:UDF17"/>
    <mergeCell ref="UDN17:UDO17"/>
    <mergeCell ref="UDW17:UDX17"/>
    <mergeCell ref="UMN17:UMO17"/>
    <mergeCell ref="UMW17:UMX17"/>
    <mergeCell ref="UNF17:UNG17"/>
    <mergeCell ref="UNO17:UNP17"/>
    <mergeCell ref="UNX17:UNY17"/>
    <mergeCell ref="UOG17:UOH17"/>
    <mergeCell ref="UKL17:UKM17"/>
    <mergeCell ref="UKU17:UKV17"/>
    <mergeCell ref="ULD17:ULE17"/>
    <mergeCell ref="ULM17:ULN17"/>
    <mergeCell ref="ULV17:ULW17"/>
    <mergeCell ref="UME17:UMF17"/>
    <mergeCell ref="UIJ17:UIK17"/>
    <mergeCell ref="UIS17:UIT17"/>
    <mergeCell ref="UJB17:UJC17"/>
    <mergeCell ref="UJK17:UJL17"/>
    <mergeCell ref="UJT17:UJU17"/>
    <mergeCell ref="UKC17:UKD17"/>
    <mergeCell ref="UST17:USU17"/>
    <mergeCell ref="UTC17:UTD17"/>
    <mergeCell ref="UTL17:UTM17"/>
    <mergeCell ref="UTU17:UTV17"/>
    <mergeCell ref="UUD17:UUE17"/>
    <mergeCell ref="UUM17:UUN17"/>
    <mergeCell ref="UQR17:UQS17"/>
    <mergeCell ref="URA17:URB17"/>
    <mergeCell ref="URJ17:URK17"/>
    <mergeCell ref="URS17:URT17"/>
    <mergeCell ref="USB17:USC17"/>
    <mergeCell ref="USK17:USL17"/>
    <mergeCell ref="UOP17:UOQ17"/>
    <mergeCell ref="UOY17:UOZ17"/>
    <mergeCell ref="UPH17:UPI17"/>
    <mergeCell ref="UPQ17:UPR17"/>
    <mergeCell ref="UPZ17:UQA17"/>
    <mergeCell ref="UQI17:UQJ17"/>
    <mergeCell ref="UYZ17:UZA17"/>
    <mergeCell ref="UZI17:UZJ17"/>
    <mergeCell ref="UZR17:UZS17"/>
    <mergeCell ref="VAA17:VAB17"/>
    <mergeCell ref="VAJ17:VAK17"/>
    <mergeCell ref="VAS17:VAT17"/>
    <mergeCell ref="UWX17:UWY17"/>
    <mergeCell ref="UXG17:UXH17"/>
    <mergeCell ref="UXP17:UXQ17"/>
    <mergeCell ref="UXY17:UXZ17"/>
    <mergeCell ref="UYH17:UYI17"/>
    <mergeCell ref="UYQ17:UYR17"/>
    <mergeCell ref="UUV17:UUW17"/>
    <mergeCell ref="UVE17:UVF17"/>
    <mergeCell ref="UVN17:UVO17"/>
    <mergeCell ref="UVW17:UVX17"/>
    <mergeCell ref="UWF17:UWG17"/>
    <mergeCell ref="UWO17:UWP17"/>
    <mergeCell ref="VFF17:VFG17"/>
    <mergeCell ref="VFO17:VFP17"/>
    <mergeCell ref="VFX17:VFY17"/>
    <mergeCell ref="VGG17:VGH17"/>
    <mergeCell ref="VGP17:VGQ17"/>
    <mergeCell ref="VGY17:VGZ17"/>
    <mergeCell ref="VDD17:VDE17"/>
    <mergeCell ref="VDM17:VDN17"/>
    <mergeCell ref="VDV17:VDW17"/>
    <mergeCell ref="VEE17:VEF17"/>
    <mergeCell ref="VEN17:VEO17"/>
    <mergeCell ref="VEW17:VEX17"/>
    <mergeCell ref="VBB17:VBC17"/>
    <mergeCell ref="VBK17:VBL17"/>
    <mergeCell ref="VBT17:VBU17"/>
    <mergeCell ref="VCC17:VCD17"/>
    <mergeCell ref="VCL17:VCM17"/>
    <mergeCell ref="VCU17:VCV17"/>
    <mergeCell ref="VLL17:VLM17"/>
    <mergeCell ref="VLU17:VLV17"/>
    <mergeCell ref="VMD17:VME17"/>
    <mergeCell ref="VMM17:VMN17"/>
    <mergeCell ref="VMV17:VMW17"/>
    <mergeCell ref="VNE17:VNF17"/>
    <mergeCell ref="VJJ17:VJK17"/>
    <mergeCell ref="VJS17:VJT17"/>
    <mergeCell ref="VKB17:VKC17"/>
    <mergeCell ref="VKK17:VKL17"/>
    <mergeCell ref="VKT17:VKU17"/>
    <mergeCell ref="VLC17:VLD17"/>
    <mergeCell ref="VHH17:VHI17"/>
    <mergeCell ref="VHQ17:VHR17"/>
    <mergeCell ref="VHZ17:VIA17"/>
    <mergeCell ref="VII17:VIJ17"/>
    <mergeCell ref="VIR17:VIS17"/>
    <mergeCell ref="VJA17:VJB17"/>
    <mergeCell ref="VRR17:VRS17"/>
    <mergeCell ref="VSA17:VSB17"/>
    <mergeCell ref="VSJ17:VSK17"/>
    <mergeCell ref="VSS17:VST17"/>
    <mergeCell ref="VTB17:VTC17"/>
    <mergeCell ref="VTK17:VTL17"/>
    <mergeCell ref="VPP17:VPQ17"/>
    <mergeCell ref="VPY17:VPZ17"/>
    <mergeCell ref="VQH17:VQI17"/>
    <mergeCell ref="VQQ17:VQR17"/>
    <mergeCell ref="VQZ17:VRA17"/>
    <mergeCell ref="VRI17:VRJ17"/>
    <mergeCell ref="VNN17:VNO17"/>
    <mergeCell ref="VNW17:VNX17"/>
    <mergeCell ref="VOF17:VOG17"/>
    <mergeCell ref="VOO17:VOP17"/>
    <mergeCell ref="VOX17:VOY17"/>
    <mergeCell ref="VPG17:VPH17"/>
    <mergeCell ref="VXX17:VXY17"/>
    <mergeCell ref="VYG17:VYH17"/>
    <mergeCell ref="VYP17:VYQ17"/>
    <mergeCell ref="VYY17:VYZ17"/>
    <mergeCell ref="VZH17:VZI17"/>
    <mergeCell ref="VZQ17:VZR17"/>
    <mergeCell ref="VVV17:VVW17"/>
    <mergeCell ref="VWE17:VWF17"/>
    <mergeCell ref="VWN17:VWO17"/>
    <mergeCell ref="VWW17:VWX17"/>
    <mergeCell ref="VXF17:VXG17"/>
    <mergeCell ref="VXO17:VXP17"/>
    <mergeCell ref="VTT17:VTU17"/>
    <mergeCell ref="VUC17:VUD17"/>
    <mergeCell ref="VUL17:VUM17"/>
    <mergeCell ref="VUU17:VUV17"/>
    <mergeCell ref="VVD17:VVE17"/>
    <mergeCell ref="VVM17:VVN17"/>
    <mergeCell ref="WED17:WEE17"/>
    <mergeCell ref="WEM17:WEN17"/>
    <mergeCell ref="WEV17:WEW17"/>
    <mergeCell ref="WFE17:WFF17"/>
    <mergeCell ref="WFN17:WFO17"/>
    <mergeCell ref="WFW17:WFX17"/>
    <mergeCell ref="WCB17:WCC17"/>
    <mergeCell ref="WCK17:WCL17"/>
    <mergeCell ref="WCT17:WCU17"/>
    <mergeCell ref="WDC17:WDD17"/>
    <mergeCell ref="WDL17:WDM17"/>
    <mergeCell ref="WDU17:WDV17"/>
    <mergeCell ref="VZZ17:WAA17"/>
    <mergeCell ref="WAI17:WAJ17"/>
    <mergeCell ref="WAR17:WAS17"/>
    <mergeCell ref="WBA17:WBB17"/>
    <mergeCell ref="WBJ17:WBK17"/>
    <mergeCell ref="WBS17:WBT17"/>
    <mergeCell ref="WKJ17:WKK17"/>
    <mergeCell ref="WKS17:WKT17"/>
    <mergeCell ref="WLB17:WLC17"/>
    <mergeCell ref="WLK17:WLL17"/>
    <mergeCell ref="WLT17:WLU17"/>
    <mergeCell ref="WMC17:WMD17"/>
    <mergeCell ref="WIH17:WII17"/>
    <mergeCell ref="WIQ17:WIR17"/>
    <mergeCell ref="WIZ17:WJA17"/>
    <mergeCell ref="WJI17:WJJ17"/>
    <mergeCell ref="WJR17:WJS17"/>
    <mergeCell ref="WKA17:WKB17"/>
    <mergeCell ref="WGF17:WGG17"/>
    <mergeCell ref="WGO17:WGP17"/>
    <mergeCell ref="WGX17:WGY17"/>
    <mergeCell ref="WHG17:WHH17"/>
    <mergeCell ref="WHP17:WHQ17"/>
    <mergeCell ref="WHY17:WHZ17"/>
    <mergeCell ref="WQP17:WQQ17"/>
    <mergeCell ref="WQY17:WQZ17"/>
    <mergeCell ref="WRH17:WRI17"/>
    <mergeCell ref="WRQ17:WRR17"/>
    <mergeCell ref="WRZ17:WSA17"/>
    <mergeCell ref="WSI17:WSJ17"/>
    <mergeCell ref="WON17:WOO17"/>
    <mergeCell ref="WOW17:WOX17"/>
    <mergeCell ref="WPF17:WPG17"/>
    <mergeCell ref="WPO17:WPP17"/>
    <mergeCell ref="WPX17:WPY17"/>
    <mergeCell ref="WQG17:WQH17"/>
    <mergeCell ref="WML17:WMM17"/>
    <mergeCell ref="WMU17:WMV17"/>
    <mergeCell ref="WND17:WNE17"/>
    <mergeCell ref="WNM17:WNN17"/>
    <mergeCell ref="WNV17:WNW17"/>
    <mergeCell ref="WOE17:WOF17"/>
    <mergeCell ref="WWV17:WWW17"/>
    <mergeCell ref="WXE17:WXF17"/>
    <mergeCell ref="WXN17:WXO17"/>
    <mergeCell ref="WXW17:WXX17"/>
    <mergeCell ref="WYF17:WYG17"/>
    <mergeCell ref="WYO17:WYP17"/>
    <mergeCell ref="WUT17:WUU17"/>
    <mergeCell ref="WVC17:WVD17"/>
    <mergeCell ref="WVL17:WVM17"/>
    <mergeCell ref="WVU17:WVV17"/>
    <mergeCell ref="WWD17:WWE17"/>
    <mergeCell ref="WWM17:WWN17"/>
    <mergeCell ref="WSR17:WSS17"/>
    <mergeCell ref="WTA17:WTB17"/>
    <mergeCell ref="WTJ17:WTK17"/>
    <mergeCell ref="WTS17:WTT17"/>
    <mergeCell ref="WUB17:WUC17"/>
    <mergeCell ref="WUK17:WUL17"/>
    <mergeCell ref="XDB17:XDC17"/>
    <mergeCell ref="XDK17:XDL17"/>
    <mergeCell ref="XDT17:XDU17"/>
    <mergeCell ref="XEC17:XED17"/>
    <mergeCell ref="XEL17:XEM17"/>
    <mergeCell ref="XEU17:XEV17"/>
    <mergeCell ref="XAZ17:XBA17"/>
    <mergeCell ref="XBI17:XBJ17"/>
    <mergeCell ref="XBR17:XBS17"/>
    <mergeCell ref="XCA17:XCB17"/>
    <mergeCell ref="XCJ17:XCK17"/>
    <mergeCell ref="XCS17:XCT17"/>
    <mergeCell ref="WYX17:WYY17"/>
    <mergeCell ref="WZG17:WZH17"/>
    <mergeCell ref="WZP17:WZQ17"/>
    <mergeCell ref="WZY17:WZZ17"/>
    <mergeCell ref="XAH17:XAI17"/>
    <mergeCell ref="XAQ17:XAR17"/>
    <mergeCell ref="B19:B20"/>
    <mergeCell ref="B41:B42"/>
    <mergeCell ref="B43:B45"/>
    <mergeCell ref="G44:G45"/>
    <mergeCell ref="P100:S100"/>
    <mergeCell ref="J36:S36"/>
    <mergeCell ref="G38:G39"/>
    <mergeCell ref="G40:G41"/>
    <mergeCell ref="G42:G43"/>
    <mergeCell ref="Q27:R27"/>
    <mergeCell ref="Q28:R28"/>
    <mergeCell ref="Q34:R34"/>
    <mergeCell ref="Q23:R23"/>
    <mergeCell ref="Q24:R24"/>
    <mergeCell ref="Q25:R25"/>
    <mergeCell ref="Q21:R21"/>
    <mergeCell ref="Q22:R22"/>
    <mergeCell ref="D36:H36"/>
    <mergeCell ref="B37:B38"/>
    <mergeCell ref="B39:B40"/>
    <mergeCell ref="B31:B34"/>
    <mergeCell ref="B28:B30"/>
  </mergeCells>
  <conditionalFormatting sqref="E19:E33">
    <cfRule type="colorScale" priority="17">
      <colorScale>
        <cfvo type="min"/>
        <cfvo type="max"/>
        <color theme="0" tint="-4.9989318521683403E-2"/>
        <color rgb="FF8BA96B"/>
      </colorScale>
    </cfRule>
  </conditionalFormatting>
  <conditionalFormatting sqref="F19:F33">
    <cfRule type="colorScale" priority="18">
      <colorScale>
        <cfvo type="min"/>
        <cfvo type="max"/>
        <color theme="0" tint="-4.9989318521683403E-2"/>
        <color rgb="FF8BA96B"/>
      </colorScale>
    </cfRule>
  </conditionalFormatting>
  <conditionalFormatting sqref="G19:G33">
    <cfRule type="colorScale" priority="19">
      <colorScale>
        <cfvo type="min"/>
        <cfvo type="max"/>
        <color theme="0" tint="-4.9989318521683403E-2"/>
        <color rgb="FF8BA96B"/>
      </colorScale>
    </cfRule>
  </conditionalFormatting>
  <conditionalFormatting sqref="K19:K33">
    <cfRule type="colorScale" priority="20">
      <colorScale>
        <cfvo type="min"/>
        <cfvo type="max"/>
        <color theme="0" tint="-4.9989318521683403E-2"/>
        <color rgb="FF8BA96B"/>
      </colorScale>
    </cfRule>
  </conditionalFormatting>
  <conditionalFormatting sqref="L19:L33">
    <cfRule type="colorScale" priority="21">
      <colorScale>
        <cfvo type="min"/>
        <cfvo type="max"/>
        <color theme="0" tint="-4.9989318521683403E-2"/>
        <color rgb="FF8BA96B"/>
      </colorScale>
    </cfRule>
  </conditionalFormatting>
  <conditionalFormatting sqref="M19:M33">
    <cfRule type="colorScale" priority="22">
      <colorScale>
        <cfvo type="min"/>
        <cfvo type="max"/>
        <color theme="0" tint="-4.9989318521683403E-2"/>
        <color rgb="FF8BA96B"/>
      </colorScale>
    </cfRule>
  </conditionalFormatting>
  <printOptions horizontalCentered="1" verticalCentered="1"/>
  <pageMargins left="0.75" right="0.75" top="1.0640000000000001" bottom="0.75" header="0.3" footer="0.3"/>
  <pageSetup scale="52" orientation="landscape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F45"/>
  <sheetViews>
    <sheetView topLeftCell="I1" zoomScale="84" zoomScaleNormal="84" workbookViewId="0">
      <selection activeCell="I1" sqref="I1:J1"/>
    </sheetView>
  </sheetViews>
  <sheetFormatPr defaultRowHeight="12.75" x14ac:dyDescent="0.2"/>
  <cols>
    <col min="4" max="4" width="27.5703125" bestFit="1" customWidth="1"/>
    <col min="9" max="9" width="26.7109375" bestFit="1" customWidth="1"/>
    <col min="12" max="15" width="9.42578125" bestFit="1" customWidth="1"/>
    <col min="18" max="18" width="20.5703125" bestFit="1" customWidth="1"/>
    <col min="19" max="19" width="20.5703125" customWidth="1"/>
    <col min="20" max="21" width="9.7109375" bestFit="1" customWidth="1"/>
    <col min="24" max="26" width="9.7109375" bestFit="1" customWidth="1"/>
    <col min="30" max="32" width="9.7109375" bestFit="1" customWidth="1"/>
  </cols>
  <sheetData>
    <row r="1" spans="3:32" x14ac:dyDescent="0.2">
      <c r="D1" s="113" t="s">
        <v>3</v>
      </c>
      <c r="E1" s="113"/>
      <c r="I1" s="113" t="s">
        <v>9</v>
      </c>
      <c r="J1" s="113"/>
    </row>
    <row r="2" spans="3:32" x14ac:dyDescent="0.2">
      <c r="D2" t="s">
        <v>2</v>
      </c>
      <c r="E2" s="68">
        <f>'Data Staging Lag'!Q22/'Data Staging Lag'!Q7</f>
        <v>0.37692307692307692</v>
      </c>
      <c r="F2" s="67">
        <f>1-E2</f>
        <v>0.62307692307692308</v>
      </c>
      <c r="I2" t="s">
        <v>2</v>
      </c>
      <c r="J2" s="64">
        <f>AVERAGEIF('Data Staging Lag'!E7:P7,"&lt;&gt;0")</f>
        <v>111</v>
      </c>
      <c r="L2">
        <f>'Data Staging Lag'!Q6</f>
        <v>366</v>
      </c>
    </row>
    <row r="3" spans="3:32" x14ac:dyDescent="0.2">
      <c r="D3" t="s">
        <v>8</v>
      </c>
      <c r="E3" s="68">
        <f>'Data Staging Lag'!Q23/'Data Staging Lag'!Q8</f>
        <v>0.41739130434782606</v>
      </c>
      <c r="F3" s="67">
        <f>1-E3</f>
        <v>0.58260869565217388</v>
      </c>
      <c r="I3" t="s">
        <v>8</v>
      </c>
      <c r="J3" s="64">
        <f>AVERAGEIF('Data Staging Lag'!E8:P8,"&lt;&gt;0")</f>
        <v>113.58333333333333</v>
      </c>
      <c r="L3">
        <f>'Data Staging Lag'!E6</f>
        <v>414</v>
      </c>
      <c r="M3">
        <f>((L2-L3)/L3)*100</f>
        <v>-11.594202898550725</v>
      </c>
      <c r="S3" s="63">
        <f>'Data Staging Provider Stats'!AQ5</f>
        <v>45931</v>
      </c>
      <c r="T3" s="63">
        <f>'Data Staging Provider Stats'!AN5</f>
        <v>45901</v>
      </c>
      <c r="U3" s="63">
        <f>'Data Staging Provider Stats'!AK5</f>
        <v>45870</v>
      </c>
      <c r="V3" s="63">
        <f>'Data Staging Provider Stats'!AH5</f>
        <v>45839</v>
      </c>
      <c r="W3" s="63">
        <f>'Data Staging Provider Stats'!AE5</f>
        <v>45809</v>
      </c>
      <c r="X3" s="63">
        <f>'Data Staging Provider Stats'!AB5</f>
        <v>45778</v>
      </c>
      <c r="Y3" s="63">
        <f>'Data Staging Provider Stats'!Y5</f>
        <v>45748</v>
      </c>
      <c r="Z3" s="63">
        <f>'Data Staging Provider Stats'!V5</f>
        <v>45717</v>
      </c>
      <c r="AA3" s="63">
        <f>'Data Staging Provider Stats'!S5</f>
        <v>45689</v>
      </c>
      <c r="AB3" s="63">
        <f>'Data Staging Provider Stats'!P5</f>
        <v>45658</v>
      </c>
      <c r="AC3" s="63">
        <f>'Data Staging Provider Stats'!M5</f>
        <v>45627</v>
      </c>
      <c r="AD3" s="63">
        <f>'Data Staging Provider Stats'!J5</f>
        <v>45597</v>
      </c>
      <c r="AE3" s="63">
        <f>'Data Staging Provider Stats'!G5</f>
        <v>45566</v>
      </c>
      <c r="AF3" t="s">
        <v>32</v>
      </c>
    </row>
    <row r="4" spans="3:32" x14ac:dyDescent="0.2">
      <c r="I4" t="s">
        <v>14</v>
      </c>
      <c r="J4" s="64">
        <f>AVERAGEIF('Data Staging Lag'!E9:P9,"&lt;&gt;0")</f>
        <v>122.08333333333333</v>
      </c>
      <c r="Q4">
        <v>1</v>
      </c>
      <c r="R4" t="str">
        <f>VLOOKUP(Q4,'Data Staging Provider Stats'!A:D,4,FALSE)</f>
        <v>Marcel Hilton</v>
      </c>
      <c r="S4">
        <f>VLOOKUP($R4,'Data Staging Provider Stats'!$D:$AT,40,FALSE)</f>
        <v>40</v>
      </c>
      <c r="T4">
        <f>VLOOKUP($R4,'Data Staging Provider Stats'!$D:$AT,37,FALSE)</f>
        <v>27</v>
      </c>
      <c r="U4">
        <f>VLOOKUP($R4,'Data Staging Provider Stats'!$D:$AT,34,FALSE)</f>
        <v>31</v>
      </c>
      <c r="V4">
        <f>VLOOKUP($R4,'Data Staging Provider Stats'!$D:$AT,31,FALSE)</f>
        <v>33</v>
      </c>
      <c r="W4">
        <f>VLOOKUP($R4,'Data Staging Provider Stats'!$D:$AT,28,FALSE)</f>
        <v>34</v>
      </c>
      <c r="X4">
        <f>VLOOKUP($R4,'Data Staging Provider Stats'!$D:$AT,25,FALSE)</f>
        <v>21</v>
      </c>
      <c r="Y4">
        <f>VLOOKUP($R4,'Data Staging Provider Stats'!$D:$AT,22,FALSE)</f>
        <v>34</v>
      </c>
      <c r="Z4">
        <f>VLOOKUP($R4,'Data Staging Provider Stats'!$D:$AT,19,FALSE)</f>
        <v>31</v>
      </c>
      <c r="AA4">
        <f>VLOOKUP($R4,'Data Staging Provider Stats'!$D:$AT,16,FALSE)</f>
        <v>34</v>
      </c>
      <c r="AB4">
        <f>VLOOKUP($R4,'Data Staging Provider Stats'!$D:$AT,13,FALSE)</f>
        <v>32</v>
      </c>
      <c r="AC4">
        <f>VLOOKUP($R4,'Data Staging Provider Stats'!$D:$AT,10,FALSE)</f>
        <v>23</v>
      </c>
      <c r="AD4">
        <f>VLOOKUP($R4,'Data Staging Provider Stats'!$D:$AT,7,FALSE)</f>
        <v>33</v>
      </c>
      <c r="AE4">
        <f>VLOOKUP($R4,'Data Staging Provider Stats'!$D:$AT,4,FALSE)</f>
        <v>33</v>
      </c>
      <c r="AF4">
        <f>SUM(S4:AE4)</f>
        <v>406</v>
      </c>
    </row>
    <row r="5" spans="3:32" x14ac:dyDescent="0.2">
      <c r="D5" s="113" t="s">
        <v>27</v>
      </c>
      <c r="E5" s="113"/>
      <c r="F5" s="113"/>
      <c r="G5" s="113"/>
      <c r="I5" t="s">
        <v>15</v>
      </c>
      <c r="J5" s="64" t="e">
        <f>AVERAGEIF('Data Staging Lag'!E10:P10,"&lt;&gt;0")</f>
        <v>#DIV/0!</v>
      </c>
      <c r="Q5">
        <v>2</v>
      </c>
      <c r="R5" t="str">
        <f>VLOOKUP(Q5,'Data Staging Provider Stats'!A:D,4,FALSE)</f>
        <v>Anna Stewart</v>
      </c>
      <c r="S5">
        <f>VLOOKUP($R5,'Data Staging Provider Stats'!$D:$AT,40,FALSE)</f>
        <v>17</v>
      </c>
      <c r="T5">
        <f>VLOOKUP($R5,'Data Staging Provider Stats'!$D:$AT,37,FALSE)</f>
        <v>13</v>
      </c>
      <c r="U5">
        <f>VLOOKUP($R5,'Data Staging Provider Stats'!$D:$AT,34,FALSE)</f>
        <v>15</v>
      </c>
      <c r="V5">
        <f>VLOOKUP($R5,'Data Staging Provider Stats'!$D:$AT,31,FALSE)</f>
        <v>12</v>
      </c>
      <c r="W5">
        <f>VLOOKUP($R5,'Data Staging Provider Stats'!$D:$AT,28,FALSE)</f>
        <v>17</v>
      </c>
      <c r="X5">
        <f>VLOOKUP($R5,'Data Staging Provider Stats'!$D:$AT,25,FALSE)</f>
        <v>18</v>
      </c>
      <c r="Y5">
        <f>VLOOKUP($R5,'Data Staging Provider Stats'!$D:$AT,22,FALSE)</f>
        <v>17</v>
      </c>
      <c r="Z5">
        <f>VLOOKUP($R5,'Data Staging Provider Stats'!$D:$AT,19,FALSE)</f>
        <v>18</v>
      </c>
      <c r="AA5">
        <f>VLOOKUP($R5,'Data Staging Provider Stats'!$D:$AT,16,FALSE)</f>
        <v>20</v>
      </c>
      <c r="AB5">
        <f>VLOOKUP($R5,'Data Staging Provider Stats'!$D:$AT,13,FALSE)</f>
        <v>17</v>
      </c>
      <c r="AC5">
        <f>VLOOKUP($R5,'Data Staging Provider Stats'!$D:$AT,10,FALSE)</f>
        <v>12</v>
      </c>
      <c r="AD5">
        <f>VLOOKUP($R5,'Data Staging Provider Stats'!$D:$AT,7,FALSE)</f>
        <v>14</v>
      </c>
      <c r="AE5">
        <f>VLOOKUP($R5,'Data Staging Provider Stats'!$D:$AT,4,FALSE)</f>
        <v>14</v>
      </c>
      <c r="AF5">
        <f>SUM(S5:AE5)</f>
        <v>204</v>
      </c>
    </row>
    <row r="6" spans="3:32" x14ac:dyDescent="0.2">
      <c r="D6" s="113"/>
      <c r="E6" s="113"/>
      <c r="F6" s="113"/>
      <c r="G6" s="113"/>
      <c r="Q6">
        <v>3</v>
      </c>
      <c r="R6" t="str">
        <f>VLOOKUP(Q6,'Data Staging Provider Stats'!A:D,4,FALSE)</f>
        <v>Mohammad Frye</v>
      </c>
      <c r="S6">
        <f>VLOOKUP($R6,'Data Staging Provider Stats'!$D:$AT,40,FALSE)</f>
        <v>26</v>
      </c>
      <c r="T6">
        <f>VLOOKUP($R6,'Data Staging Provider Stats'!$D:$AT,37,FALSE)</f>
        <v>17</v>
      </c>
      <c r="U6">
        <f>VLOOKUP($R6,'Data Staging Provider Stats'!$D:$AT,34,FALSE)</f>
        <v>14</v>
      </c>
      <c r="V6">
        <f>VLOOKUP($R6,'Data Staging Provider Stats'!$D:$AT,31,FALSE)</f>
        <v>11</v>
      </c>
      <c r="W6">
        <f>VLOOKUP($R6,'Data Staging Provider Stats'!$D:$AT,28,FALSE)</f>
        <v>12</v>
      </c>
      <c r="X6">
        <f>VLOOKUP($R6,'Data Staging Provider Stats'!$D:$AT,25,FALSE)</f>
        <v>19</v>
      </c>
      <c r="Y6">
        <f>VLOOKUP($R6,'Data Staging Provider Stats'!$D:$AT,22,FALSE)</f>
        <v>9</v>
      </c>
      <c r="Z6">
        <f>VLOOKUP($R6,'Data Staging Provider Stats'!$D:$AT,19,FALSE)</f>
        <v>20</v>
      </c>
      <c r="AA6">
        <f>VLOOKUP($R6,'Data Staging Provider Stats'!$D:$AT,16,FALSE)</f>
        <v>14</v>
      </c>
      <c r="AB6">
        <f>VLOOKUP($R6,'Data Staging Provider Stats'!$D:$AT,13,FALSE)</f>
        <v>16</v>
      </c>
      <c r="AC6">
        <f>VLOOKUP($R6,'Data Staging Provider Stats'!$D:$AT,10,FALSE)</f>
        <v>10</v>
      </c>
      <c r="AD6">
        <f>VLOOKUP($R6,'Data Staging Provider Stats'!$D:$AT,7,FALSE)</f>
        <v>18</v>
      </c>
      <c r="AE6">
        <f>VLOOKUP($R6,'Data Staging Provider Stats'!$D:$AT,4,FALSE)</f>
        <v>19</v>
      </c>
      <c r="AF6">
        <f t="shared" ref="AF6:AF17" si="0">SUM(S6:AE6)</f>
        <v>205</v>
      </c>
    </row>
    <row r="7" spans="3:32" x14ac:dyDescent="0.2">
      <c r="E7" t="s">
        <v>0</v>
      </c>
      <c r="F7" t="s">
        <v>2</v>
      </c>
      <c r="G7" t="s">
        <v>8</v>
      </c>
      <c r="Q7">
        <v>4</v>
      </c>
      <c r="R7" t="str">
        <f>VLOOKUP(Q7,'Data Staging Provider Stats'!A:D,4,FALSE)</f>
        <v>Jerry Smith</v>
      </c>
      <c r="S7">
        <f>VLOOKUP($R7,'Data Staging Provider Stats'!$D:$AT,40,FALSE)</f>
        <v>19</v>
      </c>
      <c r="T7">
        <f>VLOOKUP($R7,'Data Staging Provider Stats'!$D:$AT,37,FALSE)</f>
        <v>12</v>
      </c>
      <c r="U7">
        <f>VLOOKUP($R7,'Data Staging Provider Stats'!$D:$AT,34,FALSE)</f>
        <v>18</v>
      </c>
      <c r="V7">
        <f>VLOOKUP($R7,'Data Staging Provider Stats'!$D:$AT,31,FALSE)</f>
        <v>14</v>
      </c>
      <c r="W7">
        <f>VLOOKUP($R7,'Data Staging Provider Stats'!$D:$AT,28,FALSE)</f>
        <v>12</v>
      </c>
      <c r="X7">
        <f>VLOOKUP($R7,'Data Staging Provider Stats'!$D:$AT,25,FALSE)</f>
        <v>15</v>
      </c>
      <c r="Y7">
        <f>VLOOKUP($R7,'Data Staging Provider Stats'!$D:$AT,22,FALSE)</f>
        <v>20</v>
      </c>
      <c r="Z7">
        <f>VLOOKUP($R7,'Data Staging Provider Stats'!$D:$AT,19,FALSE)</f>
        <v>17</v>
      </c>
      <c r="AA7">
        <f>VLOOKUP($R7,'Data Staging Provider Stats'!$D:$AT,16,FALSE)</f>
        <v>10</v>
      </c>
      <c r="AB7">
        <f>VLOOKUP($R7,'Data Staging Provider Stats'!$D:$AT,13,FALSE)</f>
        <v>17</v>
      </c>
      <c r="AC7">
        <f>VLOOKUP($R7,'Data Staging Provider Stats'!$D:$AT,10,FALSE)</f>
        <v>12</v>
      </c>
      <c r="AD7">
        <f>VLOOKUP($R7,'Data Staging Provider Stats'!$D:$AT,7,FALSE)</f>
        <v>18</v>
      </c>
      <c r="AE7">
        <f>VLOOKUP($R7,'Data Staging Provider Stats'!$D:$AT,4,FALSE)</f>
        <v>23</v>
      </c>
      <c r="AF7">
        <f t="shared" si="0"/>
        <v>207</v>
      </c>
    </row>
    <row r="8" spans="3:32" x14ac:dyDescent="0.2">
      <c r="C8">
        <f>COUNTIF('Data Staging Provider Stats'!D:D,"*")-11</f>
        <v>5</v>
      </c>
      <c r="D8" s="65" t="str">
        <f>"All Other (" &amp;C8&amp; ")"</f>
        <v>All Other (5)</v>
      </c>
      <c r="E8" s="65">
        <f>'Data Staging Provider Stats'!AT7-SUM(calcs!E9:E23)</f>
        <v>0</v>
      </c>
      <c r="F8" s="65">
        <f>'Data Staging Provider Stats'!AR7-SUM(calcs!F9:F23)</f>
        <v>0</v>
      </c>
      <c r="G8" s="65">
        <f>'Data Staging Provider Stats'!AS7-SUM(calcs!G9:G23)</f>
        <v>0</v>
      </c>
      <c r="Q8">
        <v>5</v>
      </c>
      <c r="R8" t="str">
        <f>VLOOKUP(Q8,'Data Staging Provider Stats'!A:D,4,FALSE)</f>
        <v>Sabrina Byrd</v>
      </c>
      <c r="S8">
        <f>VLOOKUP($R8,'Data Staging Provider Stats'!$D:$AT,40,FALSE)</f>
        <v>13</v>
      </c>
      <c r="T8">
        <f>VLOOKUP($R8,'Data Staging Provider Stats'!$D:$AT,37,FALSE)</f>
        <v>13</v>
      </c>
      <c r="U8">
        <f>VLOOKUP($R8,'Data Staging Provider Stats'!$D:$AT,34,FALSE)</f>
        <v>22</v>
      </c>
      <c r="V8">
        <f>VLOOKUP($R8,'Data Staging Provider Stats'!$D:$AT,31,FALSE)</f>
        <v>13</v>
      </c>
      <c r="W8">
        <f>VLOOKUP($R8,'Data Staging Provider Stats'!$D:$AT,28,FALSE)</f>
        <v>12</v>
      </c>
      <c r="X8">
        <f>VLOOKUP($R8,'Data Staging Provider Stats'!$D:$AT,25,FALSE)</f>
        <v>16</v>
      </c>
      <c r="Y8">
        <f>VLOOKUP($R8,'Data Staging Provider Stats'!$D:$AT,22,FALSE)</f>
        <v>21</v>
      </c>
      <c r="Z8">
        <f>VLOOKUP($R8,'Data Staging Provider Stats'!$D:$AT,19,FALSE)</f>
        <v>17</v>
      </c>
      <c r="AA8">
        <f>VLOOKUP($R8,'Data Staging Provider Stats'!$D:$AT,16,FALSE)</f>
        <v>15</v>
      </c>
      <c r="AB8">
        <f>VLOOKUP($R8,'Data Staging Provider Stats'!$D:$AT,13,FALSE)</f>
        <v>10</v>
      </c>
      <c r="AC8">
        <f>VLOOKUP($R8,'Data Staging Provider Stats'!$D:$AT,10,FALSE)</f>
        <v>12</v>
      </c>
      <c r="AD8">
        <f>VLOOKUP($R8,'Data Staging Provider Stats'!$D:$AT,7,FALSE)</f>
        <v>19</v>
      </c>
      <c r="AE8">
        <f>VLOOKUP($R8,'Data Staging Provider Stats'!$D:$AT,4,FALSE)</f>
        <v>19</v>
      </c>
      <c r="AF8">
        <f t="shared" si="0"/>
        <v>202</v>
      </c>
    </row>
    <row r="9" spans="3:32" x14ac:dyDescent="0.2">
      <c r="C9">
        <v>1</v>
      </c>
      <c r="D9" t="str">
        <f>VLOOKUP(C9,'Data Staging Provider Stats'!A:D,4,FALSE)</f>
        <v>Marcel Hilton</v>
      </c>
      <c r="E9">
        <f>VLOOKUP(D9,'Data Staging Provider Stats'!D:AT,43,FALSE)</f>
        <v>317</v>
      </c>
      <c r="F9">
        <f>VLOOKUP($D9,'Data Staging Provider Stats'!$D:$AT,41,FALSE)</f>
        <v>158</v>
      </c>
      <c r="G9">
        <f>VLOOKUP($D9,'Data Staging Provider Stats'!$D:$AT,42,FALSE)</f>
        <v>159</v>
      </c>
      <c r="Q9">
        <v>6</v>
      </c>
      <c r="R9" t="str">
        <f>VLOOKUP(Q9,'Data Staging Provider Stats'!A:D,4,FALSE)</f>
        <v>Kelly Smith</v>
      </c>
      <c r="S9">
        <f>VLOOKUP($R9,'Data Staging Provider Stats'!$D:$AT,40,FALSE)</f>
        <v>13</v>
      </c>
      <c r="T9">
        <f>VLOOKUP($R9,'Data Staging Provider Stats'!$D:$AT,37,FALSE)</f>
        <v>16</v>
      </c>
      <c r="U9">
        <f>VLOOKUP($R9,'Data Staging Provider Stats'!$D:$AT,34,FALSE)</f>
        <v>12</v>
      </c>
      <c r="V9">
        <f>VLOOKUP($R9,'Data Staging Provider Stats'!$D:$AT,31,FALSE)</f>
        <v>21</v>
      </c>
      <c r="W9">
        <f>VLOOKUP($R9,'Data Staging Provider Stats'!$D:$AT,28,FALSE)</f>
        <v>15</v>
      </c>
      <c r="X9">
        <f>VLOOKUP($R9,'Data Staging Provider Stats'!$D:$AT,25,FALSE)</f>
        <v>22</v>
      </c>
      <c r="Y9">
        <f>VLOOKUP($R9,'Data Staging Provider Stats'!$D:$AT,22,FALSE)</f>
        <v>14</v>
      </c>
      <c r="Z9">
        <f>VLOOKUP($R9,'Data Staging Provider Stats'!$D:$AT,19,FALSE)</f>
        <v>11</v>
      </c>
      <c r="AA9">
        <f>VLOOKUP($R9,'Data Staging Provider Stats'!$D:$AT,16,FALSE)</f>
        <v>15</v>
      </c>
      <c r="AB9">
        <f>VLOOKUP($R9,'Data Staging Provider Stats'!$D:$AT,13,FALSE)</f>
        <v>12</v>
      </c>
      <c r="AC9">
        <f>VLOOKUP($R9,'Data Staging Provider Stats'!$D:$AT,10,FALSE)</f>
        <v>14</v>
      </c>
      <c r="AD9">
        <f>VLOOKUP($R9,'Data Staging Provider Stats'!$D:$AT,7,FALSE)</f>
        <v>13</v>
      </c>
      <c r="AE9">
        <f>VLOOKUP($R9,'Data Staging Provider Stats'!$D:$AT,4,FALSE)</f>
        <v>14</v>
      </c>
      <c r="AF9">
        <f t="shared" si="0"/>
        <v>192</v>
      </c>
    </row>
    <row r="10" spans="3:32" x14ac:dyDescent="0.2">
      <c r="C10">
        <v>2</v>
      </c>
      <c r="D10" t="str">
        <f>VLOOKUP(C10,'Data Staging Provider Stats'!A:D,4,FALSE)</f>
        <v>Anna Stewart</v>
      </c>
      <c r="E10">
        <f>VLOOKUP(D10,'Data Staging Provider Stats'!D:AT,43,FALSE)</f>
        <v>164</v>
      </c>
      <c r="F10">
        <f>VLOOKUP($D10,'Data Staging Provider Stats'!$D:$AT,41,FALSE)</f>
        <v>86</v>
      </c>
      <c r="G10">
        <f>VLOOKUP($D10,'Data Staging Provider Stats'!$D:$AT,42,FALSE)</f>
        <v>78</v>
      </c>
      <c r="Q10">
        <v>7</v>
      </c>
      <c r="R10" t="str">
        <f>VLOOKUP(Q10,'Data Staging Provider Stats'!A:D,4,FALSE)</f>
        <v>Jessie Williams</v>
      </c>
      <c r="S10">
        <f>VLOOKUP($R10,'Data Staging Provider Stats'!$D:$AT,40,FALSE)</f>
        <v>18</v>
      </c>
      <c r="T10">
        <f>VLOOKUP($R10,'Data Staging Provider Stats'!$D:$AT,37,FALSE)</f>
        <v>7</v>
      </c>
      <c r="U10">
        <f>VLOOKUP($R10,'Data Staging Provider Stats'!$D:$AT,34,FALSE)</f>
        <v>13</v>
      </c>
      <c r="V10">
        <f>VLOOKUP($R10,'Data Staging Provider Stats'!$D:$AT,31,FALSE)</f>
        <v>12</v>
      </c>
      <c r="W10">
        <f>VLOOKUP($R10,'Data Staging Provider Stats'!$D:$AT,28,FALSE)</f>
        <v>16</v>
      </c>
      <c r="X10">
        <f>VLOOKUP($R10,'Data Staging Provider Stats'!$D:$AT,25,FALSE)</f>
        <v>18</v>
      </c>
      <c r="Y10">
        <f>VLOOKUP($R10,'Data Staging Provider Stats'!$D:$AT,22,FALSE)</f>
        <v>20</v>
      </c>
      <c r="Z10">
        <f>VLOOKUP($R10,'Data Staging Provider Stats'!$D:$AT,19,FALSE)</f>
        <v>15</v>
      </c>
      <c r="AA10">
        <f>VLOOKUP($R10,'Data Staging Provider Stats'!$D:$AT,16,FALSE)</f>
        <v>16</v>
      </c>
      <c r="AB10">
        <f>VLOOKUP($R10,'Data Staging Provider Stats'!$D:$AT,13,FALSE)</f>
        <v>15</v>
      </c>
      <c r="AC10">
        <f>VLOOKUP($R10,'Data Staging Provider Stats'!$D:$AT,10,FALSE)</f>
        <v>12</v>
      </c>
      <c r="AD10">
        <f>VLOOKUP($R10,'Data Staging Provider Stats'!$D:$AT,7,FALSE)</f>
        <v>12</v>
      </c>
      <c r="AE10">
        <f>VLOOKUP($R10,'Data Staging Provider Stats'!$D:$AT,4,FALSE)</f>
        <v>22</v>
      </c>
      <c r="AF10">
        <f t="shared" si="0"/>
        <v>196</v>
      </c>
    </row>
    <row r="11" spans="3:32" x14ac:dyDescent="0.2">
      <c r="C11">
        <v>3</v>
      </c>
      <c r="D11" t="str">
        <f>VLOOKUP(C11,'Data Staging Provider Stats'!A:D,4,FALSE)</f>
        <v>Mohammad Frye</v>
      </c>
      <c r="E11">
        <f>VLOOKUP(D11,'Data Staging Provider Stats'!D:AT,43,FALSE)</f>
        <v>158</v>
      </c>
      <c r="F11">
        <f>VLOOKUP($D11,'Data Staging Provider Stats'!$D:$AT,41,FALSE)</f>
        <v>78</v>
      </c>
      <c r="G11">
        <f>VLOOKUP($D11,'Data Staging Provider Stats'!$D:$AT,42,FALSE)</f>
        <v>80</v>
      </c>
      <c r="Q11">
        <v>8</v>
      </c>
      <c r="R11" t="str">
        <f>VLOOKUP(Q11,'Data Staging Provider Stats'!A:D,4,FALSE)</f>
        <v>Larry Brown</v>
      </c>
      <c r="S11">
        <f>VLOOKUP($R11,'Data Staging Provider Stats'!$D:$AT,40,FALSE)</f>
        <v>15</v>
      </c>
      <c r="T11">
        <f>VLOOKUP($R11,'Data Staging Provider Stats'!$D:$AT,37,FALSE)</f>
        <v>14</v>
      </c>
      <c r="U11">
        <f>VLOOKUP($R11,'Data Staging Provider Stats'!$D:$AT,34,FALSE)</f>
        <v>12</v>
      </c>
      <c r="V11">
        <f>VLOOKUP($R11,'Data Staging Provider Stats'!$D:$AT,31,FALSE)</f>
        <v>13</v>
      </c>
      <c r="W11">
        <f>VLOOKUP($R11,'Data Staging Provider Stats'!$D:$AT,28,FALSE)</f>
        <v>14</v>
      </c>
      <c r="X11">
        <f>VLOOKUP($R11,'Data Staging Provider Stats'!$D:$AT,25,FALSE)</f>
        <v>19</v>
      </c>
      <c r="Y11">
        <f>VLOOKUP($R11,'Data Staging Provider Stats'!$D:$AT,22,FALSE)</f>
        <v>15</v>
      </c>
      <c r="Z11">
        <f>VLOOKUP($R11,'Data Staging Provider Stats'!$D:$AT,19,FALSE)</f>
        <v>9</v>
      </c>
      <c r="AA11">
        <f>VLOOKUP($R11,'Data Staging Provider Stats'!$D:$AT,16,FALSE)</f>
        <v>21</v>
      </c>
      <c r="AB11">
        <f>VLOOKUP($R11,'Data Staging Provider Stats'!$D:$AT,13,FALSE)</f>
        <v>16</v>
      </c>
      <c r="AC11">
        <f>VLOOKUP($R11,'Data Staging Provider Stats'!$D:$AT,10,FALSE)</f>
        <v>17</v>
      </c>
      <c r="AD11">
        <f>VLOOKUP($R11,'Data Staging Provider Stats'!$D:$AT,7,FALSE)</f>
        <v>14</v>
      </c>
      <c r="AE11">
        <f>VLOOKUP($R11,'Data Staging Provider Stats'!$D:$AT,4,FALSE)</f>
        <v>13</v>
      </c>
      <c r="AF11">
        <f t="shared" si="0"/>
        <v>192</v>
      </c>
    </row>
    <row r="12" spans="3:32" x14ac:dyDescent="0.2">
      <c r="C12">
        <v>4</v>
      </c>
      <c r="D12" t="str">
        <f>VLOOKUP(C12,'Data Staging Provider Stats'!A:D,4,FALSE)</f>
        <v>Jerry Smith</v>
      </c>
      <c r="E12">
        <f>VLOOKUP(D12,'Data Staging Provider Stats'!D:AT,43,FALSE)</f>
        <v>154</v>
      </c>
      <c r="F12">
        <f>VLOOKUP($D12,'Data Staging Provider Stats'!$D:$AT,41,FALSE)</f>
        <v>77</v>
      </c>
      <c r="G12">
        <f>VLOOKUP($D12,'Data Staging Provider Stats'!$D:$AT,42,FALSE)</f>
        <v>77</v>
      </c>
      <c r="Q12">
        <v>9</v>
      </c>
      <c r="R12" t="str">
        <f>VLOOKUP(Q12,'Data Staging Provider Stats'!A:D,4,FALSE)</f>
        <v>Jenny Cameron</v>
      </c>
      <c r="S12">
        <f>VLOOKUP($R12,'Data Staging Provider Stats'!$D:$AT,40,FALSE)</f>
        <v>11</v>
      </c>
      <c r="T12">
        <f>VLOOKUP($R12,'Data Staging Provider Stats'!$D:$AT,37,FALSE)</f>
        <v>10</v>
      </c>
      <c r="U12">
        <f>VLOOKUP($R12,'Data Staging Provider Stats'!$D:$AT,34,FALSE)</f>
        <v>14</v>
      </c>
      <c r="V12">
        <f>VLOOKUP($R12,'Data Staging Provider Stats'!$D:$AT,31,FALSE)</f>
        <v>15</v>
      </c>
      <c r="W12">
        <f>VLOOKUP($R12,'Data Staging Provider Stats'!$D:$AT,28,FALSE)</f>
        <v>23</v>
      </c>
      <c r="X12">
        <f>VLOOKUP($R12,'Data Staging Provider Stats'!$D:$AT,25,FALSE)</f>
        <v>12</v>
      </c>
      <c r="Y12">
        <f>VLOOKUP($R12,'Data Staging Provider Stats'!$D:$AT,22,FALSE)</f>
        <v>13</v>
      </c>
      <c r="Z12">
        <f>VLOOKUP($R12,'Data Staging Provider Stats'!$D:$AT,19,FALSE)</f>
        <v>14</v>
      </c>
      <c r="AA12">
        <f>VLOOKUP($R12,'Data Staging Provider Stats'!$D:$AT,16,FALSE)</f>
        <v>15</v>
      </c>
      <c r="AB12">
        <f>VLOOKUP($R12,'Data Staging Provider Stats'!$D:$AT,13,FALSE)</f>
        <v>18</v>
      </c>
      <c r="AC12">
        <f>VLOOKUP($R12,'Data Staging Provider Stats'!$D:$AT,10,FALSE)</f>
        <v>16</v>
      </c>
      <c r="AD12">
        <f>VLOOKUP($R12,'Data Staging Provider Stats'!$D:$AT,7,FALSE)</f>
        <v>9</v>
      </c>
      <c r="AE12">
        <f>VLOOKUP($R12,'Data Staging Provider Stats'!$D:$AT,4,FALSE)</f>
        <v>13</v>
      </c>
      <c r="AF12">
        <f t="shared" si="0"/>
        <v>183</v>
      </c>
    </row>
    <row r="13" spans="3:32" x14ac:dyDescent="0.2">
      <c r="C13">
        <v>5</v>
      </c>
      <c r="D13" t="str">
        <f>VLOOKUP(C13,'Data Staging Provider Stats'!A:D,4,FALSE)</f>
        <v>Sabrina Byrd</v>
      </c>
      <c r="E13">
        <f>VLOOKUP(D13,'Data Staging Provider Stats'!D:AT,43,FALSE)</f>
        <v>152</v>
      </c>
      <c r="F13">
        <f>VLOOKUP($D13,'Data Staging Provider Stats'!$D:$AT,41,FALSE)</f>
        <v>64</v>
      </c>
      <c r="G13">
        <f>VLOOKUP($D13,'Data Staging Provider Stats'!$D:$AT,42,FALSE)</f>
        <v>88</v>
      </c>
      <c r="Q13">
        <v>10</v>
      </c>
      <c r="R13" t="str">
        <f>VLOOKUP(Q13,'Data Staging Provider Stats'!A:D,4,FALSE)</f>
        <v>Fredrick Johnson</v>
      </c>
      <c r="S13">
        <f>VLOOKUP($R13,'Data Staging Provider Stats'!$D:$AT,40,FALSE)</f>
        <v>10</v>
      </c>
      <c r="T13">
        <f>VLOOKUP($R13,'Data Staging Provider Stats'!$D:$AT,37,FALSE)</f>
        <v>12</v>
      </c>
      <c r="U13">
        <f>VLOOKUP($R13,'Data Staging Provider Stats'!$D:$AT,34,FALSE)</f>
        <v>17</v>
      </c>
      <c r="V13">
        <f>VLOOKUP($R13,'Data Staging Provider Stats'!$D:$AT,31,FALSE)</f>
        <v>20</v>
      </c>
      <c r="W13">
        <f>VLOOKUP($R13,'Data Staging Provider Stats'!$D:$AT,28,FALSE)</f>
        <v>9</v>
      </c>
      <c r="X13">
        <f>VLOOKUP($R13,'Data Staging Provider Stats'!$D:$AT,25,FALSE)</f>
        <v>17</v>
      </c>
      <c r="Y13">
        <f>VLOOKUP($R13,'Data Staging Provider Stats'!$D:$AT,22,FALSE)</f>
        <v>8</v>
      </c>
      <c r="Z13">
        <f>VLOOKUP($R13,'Data Staging Provider Stats'!$D:$AT,19,FALSE)</f>
        <v>28</v>
      </c>
      <c r="AA13">
        <f>VLOOKUP($R13,'Data Staging Provider Stats'!$D:$AT,16,FALSE)</f>
        <v>7</v>
      </c>
      <c r="AB13">
        <f>VLOOKUP($R13,'Data Staging Provider Stats'!$D:$AT,13,FALSE)</f>
        <v>16</v>
      </c>
      <c r="AC13">
        <f>VLOOKUP($R13,'Data Staging Provider Stats'!$D:$AT,10,FALSE)</f>
        <v>12</v>
      </c>
      <c r="AD13">
        <f>VLOOKUP($R13,'Data Staging Provider Stats'!$D:$AT,7,FALSE)</f>
        <v>20</v>
      </c>
      <c r="AE13">
        <f>VLOOKUP($R13,'Data Staging Provider Stats'!$D:$AT,4,FALSE)</f>
        <v>17</v>
      </c>
      <c r="AF13">
        <f t="shared" si="0"/>
        <v>193</v>
      </c>
    </row>
    <row r="14" spans="3:32" x14ac:dyDescent="0.2">
      <c r="C14">
        <v>6</v>
      </c>
      <c r="D14" t="str">
        <f>VLOOKUP(C14,'Data Staging Provider Stats'!A:D,4,FALSE)</f>
        <v>Kelly Smith</v>
      </c>
      <c r="E14">
        <f>VLOOKUP(D14,'Data Staging Provider Stats'!D:AT,43,FALSE)</f>
        <v>151</v>
      </c>
      <c r="F14">
        <f>VLOOKUP($D14,'Data Staging Provider Stats'!$D:$AT,41,FALSE)</f>
        <v>79</v>
      </c>
      <c r="G14">
        <f>VLOOKUP($D14,'Data Staging Provider Stats'!$D:$AT,42,FALSE)</f>
        <v>72</v>
      </c>
      <c r="Q14">
        <v>11</v>
      </c>
      <c r="R14" t="str">
        <f>VLOOKUP(Q14,'Data Staging Provider Stats'!A:D,4,FALSE)</f>
        <v>John Doe</v>
      </c>
      <c r="S14">
        <f>VLOOKUP($R14,'Data Staging Provider Stats'!$D:$AT,40,FALSE)</f>
        <v>13</v>
      </c>
      <c r="T14">
        <f>VLOOKUP($R14,'Data Staging Provider Stats'!$D:$AT,37,FALSE)</f>
        <v>9</v>
      </c>
      <c r="U14">
        <f>VLOOKUP($R14,'Data Staging Provider Stats'!$D:$AT,34,FALSE)</f>
        <v>11</v>
      </c>
      <c r="V14">
        <f>VLOOKUP($R14,'Data Staging Provider Stats'!$D:$AT,31,FALSE)</f>
        <v>15</v>
      </c>
      <c r="W14">
        <f>VLOOKUP($R14,'Data Staging Provider Stats'!$D:$AT,28,FALSE)</f>
        <v>14</v>
      </c>
      <c r="X14">
        <f>VLOOKUP($R14,'Data Staging Provider Stats'!$D:$AT,25,FALSE)</f>
        <v>15</v>
      </c>
      <c r="Y14">
        <f>VLOOKUP($R14,'Data Staging Provider Stats'!$D:$AT,22,FALSE)</f>
        <v>18</v>
      </c>
      <c r="Z14">
        <f>VLOOKUP($R14,'Data Staging Provider Stats'!$D:$AT,19,FALSE)</f>
        <v>19</v>
      </c>
      <c r="AA14">
        <f>VLOOKUP($R14,'Data Staging Provider Stats'!$D:$AT,16,FALSE)</f>
        <v>14</v>
      </c>
      <c r="AB14">
        <f>VLOOKUP($R14,'Data Staging Provider Stats'!$D:$AT,13,FALSE)</f>
        <v>14</v>
      </c>
      <c r="AC14">
        <f>VLOOKUP($R14,'Data Staging Provider Stats'!$D:$AT,10,FALSE)</f>
        <v>12</v>
      </c>
      <c r="AD14">
        <f>VLOOKUP($R14,'Data Staging Provider Stats'!$D:$AT,7,FALSE)</f>
        <v>6</v>
      </c>
      <c r="AE14">
        <f>VLOOKUP($R14,'Data Staging Provider Stats'!$D:$AT,4,FALSE)</f>
        <v>17</v>
      </c>
      <c r="AF14">
        <f t="shared" si="0"/>
        <v>177</v>
      </c>
    </row>
    <row r="15" spans="3:32" x14ac:dyDescent="0.2">
      <c r="C15">
        <v>7</v>
      </c>
      <c r="D15" t="str">
        <f>VLOOKUP(C15,'Data Staging Provider Stats'!A:D,4,FALSE)</f>
        <v>Jessie Williams</v>
      </c>
      <c r="E15">
        <f>VLOOKUP(D15,'Data Staging Provider Stats'!D:AT,43,FALSE)</f>
        <v>150</v>
      </c>
      <c r="F15">
        <f>VLOOKUP($D15,'Data Staging Provider Stats'!$D:$AT,41,FALSE)</f>
        <v>76</v>
      </c>
      <c r="G15">
        <f>VLOOKUP($D15,'Data Staging Provider Stats'!$D:$AT,42,FALSE)</f>
        <v>74</v>
      </c>
      <c r="Q15">
        <v>12</v>
      </c>
      <c r="R15" t="str">
        <f>VLOOKUP(Q15,'Data Staging Provider Stats'!A:D,4,FALSE)</f>
        <v>Donald Holmes</v>
      </c>
      <c r="S15">
        <f>VLOOKUP($R15,'Data Staging Provider Stats'!$D:$AT,40,FALSE)</f>
        <v>17</v>
      </c>
      <c r="T15">
        <f>VLOOKUP($R15,'Data Staging Provider Stats'!$D:$AT,37,FALSE)</f>
        <v>8</v>
      </c>
      <c r="U15">
        <f>VLOOKUP($R15,'Data Staging Provider Stats'!$D:$AT,34,FALSE)</f>
        <v>11</v>
      </c>
      <c r="V15">
        <f>VLOOKUP($R15,'Data Staging Provider Stats'!$D:$AT,31,FALSE)</f>
        <v>21</v>
      </c>
      <c r="W15">
        <f>VLOOKUP($R15,'Data Staging Provider Stats'!$D:$AT,28,FALSE)</f>
        <v>16</v>
      </c>
      <c r="X15">
        <f>VLOOKUP($R15,'Data Staging Provider Stats'!$D:$AT,25,FALSE)</f>
        <v>16</v>
      </c>
      <c r="Y15">
        <f>VLOOKUP($R15,'Data Staging Provider Stats'!$D:$AT,22,FALSE)</f>
        <v>6</v>
      </c>
      <c r="Z15">
        <f>VLOOKUP($R15,'Data Staging Provider Stats'!$D:$AT,19,FALSE)</f>
        <v>13</v>
      </c>
      <c r="AA15">
        <f>VLOOKUP($R15,'Data Staging Provider Stats'!$D:$AT,16,FALSE)</f>
        <v>12</v>
      </c>
      <c r="AB15">
        <f>VLOOKUP($R15,'Data Staging Provider Stats'!$D:$AT,13,FALSE)</f>
        <v>17</v>
      </c>
      <c r="AC15">
        <f>VLOOKUP($R15,'Data Staging Provider Stats'!$D:$AT,10,FALSE)</f>
        <v>17</v>
      </c>
      <c r="AD15">
        <f>VLOOKUP($R15,'Data Staging Provider Stats'!$D:$AT,7,FALSE)</f>
        <v>19</v>
      </c>
      <c r="AE15">
        <f>VLOOKUP($R15,'Data Staging Provider Stats'!$D:$AT,4,FALSE)</f>
        <v>16</v>
      </c>
      <c r="AF15">
        <f t="shared" si="0"/>
        <v>189</v>
      </c>
    </row>
    <row r="16" spans="3:32" x14ac:dyDescent="0.2">
      <c r="C16">
        <v>8</v>
      </c>
      <c r="D16" t="str">
        <f>VLOOKUP(C16,'Data Staging Provider Stats'!A:D,4,FALSE)</f>
        <v>Larry Brown</v>
      </c>
      <c r="E16">
        <f>VLOOKUP(D16,'Data Staging Provider Stats'!D:AT,43,FALSE)</f>
        <v>148</v>
      </c>
      <c r="F16">
        <f>VLOOKUP($D16,'Data Staging Provider Stats'!$D:$AT,41,FALSE)</f>
        <v>68</v>
      </c>
      <c r="G16">
        <f>VLOOKUP($D16,'Data Staging Provider Stats'!$D:$AT,42,FALSE)</f>
        <v>80</v>
      </c>
      <c r="Q16">
        <v>13</v>
      </c>
      <c r="R16" t="str">
        <f>VLOOKUP(Q16,'Data Staging Provider Stats'!A:D,4,FALSE)</f>
        <v>Martha Thompson</v>
      </c>
      <c r="S16">
        <f>VLOOKUP($R16,'Data Staging Provider Stats'!$D:$AT,40,FALSE)</f>
        <v>17</v>
      </c>
      <c r="T16">
        <f>VLOOKUP($R16,'Data Staging Provider Stats'!$D:$AT,37,FALSE)</f>
        <v>8</v>
      </c>
      <c r="U16">
        <f>VLOOKUP($R16,'Data Staging Provider Stats'!$D:$AT,34,FALSE)</f>
        <v>17</v>
      </c>
      <c r="V16">
        <f>VLOOKUP($R16,'Data Staging Provider Stats'!$D:$AT,31,FALSE)</f>
        <v>15</v>
      </c>
      <c r="W16">
        <f>VLOOKUP($R16,'Data Staging Provider Stats'!$D:$AT,28,FALSE)</f>
        <v>8</v>
      </c>
      <c r="X16">
        <f>VLOOKUP($R16,'Data Staging Provider Stats'!$D:$AT,25,FALSE)</f>
        <v>14</v>
      </c>
      <c r="Y16">
        <f>VLOOKUP($R16,'Data Staging Provider Stats'!$D:$AT,22,FALSE)</f>
        <v>14</v>
      </c>
      <c r="Z16">
        <f>VLOOKUP($R16,'Data Staging Provider Stats'!$D:$AT,19,FALSE)</f>
        <v>12</v>
      </c>
      <c r="AA16">
        <f>VLOOKUP($R16,'Data Staging Provider Stats'!$D:$AT,16,FALSE)</f>
        <v>14</v>
      </c>
      <c r="AB16">
        <f>VLOOKUP($R16,'Data Staging Provider Stats'!$D:$AT,13,FALSE)</f>
        <v>18</v>
      </c>
      <c r="AC16">
        <f>VLOOKUP($R16,'Data Staging Provider Stats'!$D:$AT,10,FALSE)</f>
        <v>14</v>
      </c>
      <c r="AD16">
        <f>VLOOKUP($R16,'Data Staging Provider Stats'!$D:$AT,7,FALSE)</f>
        <v>20</v>
      </c>
      <c r="AE16">
        <f>VLOOKUP($R16,'Data Staging Provider Stats'!$D:$AT,4,FALSE)</f>
        <v>19</v>
      </c>
      <c r="AF16">
        <f t="shared" si="0"/>
        <v>190</v>
      </c>
    </row>
    <row r="17" spans="3:32" x14ac:dyDescent="0.2">
      <c r="C17">
        <v>9</v>
      </c>
      <c r="D17" t="str">
        <f>VLOOKUP(C17,'Data Staging Provider Stats'!A:D,4,FALSE)</f>
        <v>Jenny Cameron</v>
      </c>
      <c r="E17">
        <f>VLOOKUP(D17,'Data Staging Provider Stats'!D:AT,43,FALSE)</f>
        <v>145</v>
      </c>
      <c r="F17">
        <f>VLOOKUP($D17,'Data Staging Provider Stats'!$D:$AT,41,FALSE)</f>
        <v>79</v>
      </c>
      <c r="G17">
        <f>VLOOKUP($D17,'Data Staging Provider Stats'!$D:$AT,42,FALSE)</f>
        <v>66</v>
      </c>
      <c r="Q17">
        <v>14</v>
      </c>
      <c r="R17" t="str">
        <f>VLOOKUP(Q17,'Data Staging Provider Stats'!A:D,4,FALSE)</f>
        <v>Maria Jacobson</v>
      </c>
      <c r="S17">
        <f>VLOOKUP($R17,'Data Staging Provider Stats'!$D:$AT,40,FALSE)</f>
        <v>15</v>
      </c>
      <c r="T17">
        <f>VLOOKUP($R17,'Data Staging Provider Stats'!$D:$AT,37,FALSE)</f>
        <v>4</v>
      </c>
      <c r="U17">
        <f>VLOOKUP($R17,'Data Staging Provider Stats'!$D:$AT,34,FALSE)</f>
        <v>14</v>
      </c>
      <c r="V17">
        <f>VLOOKUP($R17,'Data Staging Provider Stats'!$D:$AT,31,FALSE)</f>
        <v>10</v>
      </c>
      <c r="W17">
        <f>VLOOKUP($R17,'Data Staging Provider Stats'!$D:$AT,28,FALSE)</f>
        <v>13</v>
      </c>
      <c r="X17">
        <f>VLOOKUP($R17,'Data Staging Provider Stats'!$D:$AT,25,FALSE)</f>
        <v>16</v>
      </c>
      <c r="Y17">
        <f>VLOOKUP($R17,'Data Staging Provider Stats'!$D:$AT,22,FALSE)</f>
        <v>18</v>
      </c>
      <c r="Z17">
        <f>VLOOKUP($R17,'Data Staging Provider Stats'!$D:$AT,19,FALSE)</f>
        <v>10</v>
      </c>
      <c r="AA17">
        <f>VLOOKUP($R17,'Data Staging Provider Stats'!$D:$AT,16,FALSE)</f>
        <v>20</v>
      </c>
      <c r="AB17">
        <f>VLOOKUP($R17,'Data Staging Provider Stats'!$D:$AT,13,FALSE)</f>
        <v>9</v>
      </c>
      <c r="AC17">
        <f>VLOOKUP($R17,'Data Staging Provider Stats'!$D:$AT,10,FALSE)</f>
        <v>21</v>
      </c>
      <c r="AD17">
        <f>VLOOKUP($R17,'Data Staging Provider Stats'!$D:$AT,7,FALSE)</f>
        <v>19</v>
      </c>
      <c r="AE17">
        <f>VLOOKUP($R17,'Data Staging Provider Stats'!$D:$AT,4,FALSE)</f>
        <v>12</v>
      </c>
      <c r="AF17">
        <f t="shared" si="0"/>
        <v>181</v>
      </c>
    </row>
    <row r="18" spans="3:32" x14ac:dyDescent="0.2">
      <c r="C18">
        <v>10</v>
      </c>
      <c r="D18" t="str">
        <f>VLOOKUP(C18,'Data Staging Provider Stats'!A:D,4,FALSE)</f>
        <v>Fredrick Johnson</v>
      </c>
      <c r="E18">
        <f>VLOOKUP(D18,'Data Staging Provider Stats'!D:AT,43,FALSE)</f>
        <v>144</v>
      </c>
      <c r="F18">
        <f>VLOOKUP($D18,'Data Staging Provider Stats'!$D:$AT,41,FALSE)</f>
        <v>68</v>
      </c>
      <c r="G18">
        <f>VLOOKUP($D18,'Data Staging Provider Stats'!$D:$AT,42,FALSE)</f>
        <v>76</v>
      </c>
      <c r="Q18">
        <v>15</v>
      </c>
      <c r="R18" t="str">
        <f>VLOOKUP(Q18,'Data Staging Provider Stats'!A:D,4,FALSE)</f>
        <v>Frank Fredson</v>
      </c>
      <c r="S18">
        <f>VLOOKUP($R18,'Data Staging Provider Stats'!$D:$AT,40,FALSE)</f>
        <v>1</v>
      </c>
      <c r="T18">
        <f>VLOOKUP($R18,'Data Staging Provider Stats'!$D:$AT,37,FALSE)</f>
        <v>3</v>
      </c>
      <c r="U18">
        <f>VLOOKUP($R18,'Data Staging Provider Stats'!$D:$AT,34,FALSE)</f>
        <v>2</v>
      </c>
      <c r="V18">
        <f>VLOOKUP($R18,'Data Staging Provider Stats'!$D:$AT,31,FALSE)</f>
        <v>2</v>
      </c>
      <c r="W18">
        <f>VLOOKUP($R18,'Data Staging Provider Stats'!$D:$AT,28,FALSE)</f>
        <v>1</v>
      </c>
      <c r="X18">
        <f>VLOOKUP($R18,'Data Staging Provider Stats'!$D:$AT,25,FALSE)</f>
        <v>1</v>
      </c>
      <c r="Y18">
        <f>VLOOKUP($R18,'Data Staging Provider Stats'!$D:$AT,22,FALSE)</f>
        <v>2</v>
      </c>
      <c r="Z18">
        <f>VLOOKUP($R18,'Data Staging Provider Stats'!$D:$AT,19,FALSE)</f>
        <v>2</v>
      </c>
      <c r="AA18">
        <f>VLOOKUP($R18,'Data Staging Provider Stats'!$D:$AT,16,FALSE)</f>
        <v>0</v>
      </c>
      <c r="AB18">
        <f>VLOOKUP($R18,'Data Staging Provider Stats'!$D:$AT,13,FALSE)</f>
        <v>1</v>
      </c>
      <c r="AC18">
        <f>VLOOKUP($R18,'Data Staging Provider Stats'!$D:$AT,10,FALSE)</f>
        <v>0</v>
      </c>
      <c r="AD18">
        <f>VLOOKUP($R18,'Data Staging Provider Stats'!$D:$AT,7,FALSE)</f>
        <v>1</v>
      </c>
      <c r="AE18">
        <f>VLOOKUP($R18,'Data Staging Provider Stats'!$D:$AT,4,FALSE)</f>
        <v>7</v>
      </c>
      <c r="AF18">
        <f>SUM(S18:AE18)</f>
        <v>23</v>
      </c>
    </row>
    <row r="19" spans="3:32" x14ac:dyDescent="0.2">
      <c r="C19">
        <v>11</v>
      </c>
      <c r="D19" t="str">
        <f>VLOOKUP(C19,'Data Staging Provider Stats'!A:D,4,FALSE)</f>
        <v>John Doe</v>
      </c>
      <c r="E19">
        <f>VLOOKUP(D19,'Data Staging Provider Stats'!D:AT,43,FALSE)</f>
        <v>142</v>
      </c>
      <c r="F19">
        <f>VLOOKUP($D19,'Data Staging Provider Stats'!$D:$AT,41,FALSE)</f>
        <v>73</v>
      </c>
      <c r="G19">
        <f>VLOOKUP($D19,'Data Staging Provider Stats'!$D:$AT,42,FALSE)</f>
        <v>69</v>
      </c>
      <c r="R19" t="s">
        <v>0</v>
      </c>
      <c r="S19">
        <f>VLOOKUP($R19,'Data Staging Provider Stats'!$D:$AT,40,FALSE)</f>
        <v>245</v>
      </c>
      <c r="T19">
        <f>VLOOKUP($R19,'Data Staging Provider Stats'!$D:$AT,37,FALSE)</f>
        <v>173</v>
      </c>
      <c r="U19">
        <f>VLOOKUP($R19,'Data Staging Provider Stats'!$D:$AT,34,FALSE)</f>
        <v>223</v>
      </c>
      <c r="V19">
        <f>VLOOKUP($R19,'Data Staging Provider Stats'!$D:$AT,31,FALSE)</f>
        <v>227</v>
      </c>
      <c r="W19">
        <f>VLOOKUP($R19,'Data Staging Provider Stats'!$D:$AT,28,FALSE)</f>
        <v>216</v>
      </c>
      <c r="X19">
        <f>VLOOKUP($R19,'Data Staging Provider Stats'!$D:$AT,25,FALSE)</f>
        <v>239</v>
      </c>
      <c r="Y19">
        <f>VLOOKUP($R19,'Data Staging Provider Stats'!$D:$AT,22,FALSE)</f>
        <v>229</v>
      </c>
      <c r="Z19">
        <f>VLOOKUP($R19,'Data Staging Provider Stats'!$D:$AT,19,FALSE)</f>
        <v>236</v>
      </c>
      <c r="AA19">
        <f>VLOOKUP($R19,'Data Staging Provider Stats'!$D:$AT,16,FALSE)</f>
        <v>227</v>
      </c>
      <c r="AB19">
        <f>VLOOKUP($R19,'Data Staging Provider Stats'!$D:$AT,13,FALSE)</f>
        <v>228</v>
      </c>
      <c r="AC19">
        <f>VLOOKUP($R19,'Data Staging Provider Stats'!$D:$AT,10,FALSE)</f>
        <v>204</v>
      </c>
      <c r="AD19">
        <f>VLOOKUP($R19,'Data Staging Provider Stats'!$D:$AT,7,FALSE)</f>
        <v>235</v>
      </c>
      <c r="AE19">
        <f>VLOOKUP($R19,'Data Staging Provider Stats'!$D:$AT,4,FALSE)</f>
        <v>258</v>
      </c>
      <c r="AF19">
        <f t="shared" ref="AF19" si="1">SUM(S19:AE19)</f>
        <v>2940</v>
      </c>
    </row>
    <row r="20" spans="3:32" x14ac:dyDescent="0.2">
      <c r="C20">
        <v>12</v>
      </c>
      <c r="D20" t="str">
        <f>VLOOKUP(C20,'Data Staging Provider Stats'!A:D,4,FALSE)</f>
        <v>Donald Holmes</v>
      </c>
      <c r="E20">
        <f>VLOOKUP(D20,'Data Staging Provider Stats'!D:AT,43,FALSE)</f>
        <v>137</v>
      </c>
      <c r="F20">
        <f>VLOOKUP($D20,'Data Staging Provider Stats'!$D:$AT,41,FALSE)</f>
        <v>72</v>
      </c>
      <c r="G20">
        <f>VLOOKUP($D20,'Data Staging Provider Stats'!$D:$AT,42,FALSE)</f>
        <v>65</v>
      </c>
      <c r="I20" s="66" t="s">
        <v>7</v>
      </c>
    </row>
    <row r="21" spans="3:32" x14ac:dyDescent="0.2">
      <c r="C21">
        <v>13</v>
      </c>
      <c r="D21" t="str">
        <f>VLOOKUP(C21,'Data Staging Provider Stats'!A:D,4,FALSE)</f>
        <v>Martha Thompson</v>
      </c>
      <c r="E21">
        <f>VLOOKUP(D21,'Data Staging Provider Stats'!D:AT,43,FALSE)</f>
        <v>137</v>
      </c>
      <c r="F21">
        <f>VLOOKUP($D21,'Data Staging Provider Stats'!$D:$AT,41,FALSE)</f>
        <v>72</v>
      </c>
      <c r="G21">
        <f>VLOOKUP($D21,'Data Staging Provider Stats'!$D:$AT,42,FALSE)</f>
        <v>65</v>
      </c>
      <c r="J21" s="63">
        <f>'Data Staging Lag'!L5</f>
        <v>45778</v>
      </c>
      <c r="K21" s="63">
        <f>'Data Staging Lag'!M5</f>
        <v>45809</v>
      </c>
      <c r="L21" s="63">
        <f>'Data Staging Lag'!N5</f>
        <v>45839</v>
      </c>
      <c r="M21" s="63">
        <f>'Data Staging Lag'!O5</f>
        <v>45870</v>
      </c>
      <c r="N21" s="63">
        <f>'Data Staging Lag'!P5</f>
        <v>45901</v>
      </c>
      <c r="O21" s="63">
        <f>'Data Staging Lag'!Q5</f>
        <v>45931</v>
      </c>
    </row>
    <row r="22" spans="3:32" x14ac:dyDescent="0.2">
      <c r="C22">
        <v>14</v>
      </c>
      <c r="D22" t="str">
        <f>VLOOKUP(C22,'Data Staging Provider Stats'!A:D,4,FALSE)</f>
        <v>Maria Jacobson</v>
      </c>
      <c r="E22">
        <f>VLOOKUP(D22,'Data Staging Provider Stats'!D:AT,43,FALSE)</f>
        <v>129</v>
      </c>
      <c r="F22">
        <f>VLOOKUP($D22,'Data Staging Provider Stats'!$D:$AT,41,FALSE)</f>
        <v>55</v>
      </c>
      <c r="G22">
        <f>VLOOKUP($D22,'Data Staging Provider Stats'!$D:$AT,42,FALSE)</f>
        <v>74</v>
      </c>
      <c r="I22" t="str">
        <f>D9</f>
        <v>Marcel Hilton</v>
      </c>
      <c r="J22">
        <f>SUMIFS('Data Staging Provider Stats'!$AB:$AB,'Data Staging Provider Stats'!$D:$D,calcs!$I22)</f>
        <v>21</v>
      </c>
      <c r="K22">
        <f>SUMIFS('Data Staging Provider Stats'!$AE:$AE,'Data Staging Provider Stats'!$D:$D,calcs!$I22)</f>
        <v>34</v>
      </c>
      <c r="L22">
        <f>SUMIFS('Data Staging Provider Stats'!$AH:$AH,'Data Staging Provider Stats'!$D:$D,calcs!$I22)</f>
        <v>33</v>
      </c>
      <c r="M22">
        <f>SUMIFS('Data Staging Provider Stats'!$AK:$AK,'Data Staging Provider Stats'!$D:$D,calcs!$I22)</f>
        <v>31</v>
      </c>
      <c r="N22">
        <f>SUMIFS('Data Staging Provider Stats'!$AN:$AN,'Data Staging Provider Stats'!$D:$D,calcs!$I22)</f>
        <v>27</v>
      </c>
      <c r="O22">
        <f>SUMIFS('Data Staging Provider Stats'!$AQ:$AQ,'Data Staging Provider Stats'!$D:$D,calcs!$I22)</f>
        <v>40</v>
      </c>
      <c r="S22" s="79" t="s">
        <v>35</v>
      </c>
      <c r="T22" s="79" t="s">
        <v>36</v>
      </c>
      <c r="U22" s="79" t="s">
        <v>37</v>
      </c>
      <c r="V22" s="79" t="s">
        <v>38</v>
      </c>
      <c r="W22" s="79" t="s">
        <v>39</v>
      </c>
      <c r="X22" s="79" t="s">
        <v>40</v>
      </c>
      <c r="Y22" s="79" t="s">
        <v>41</v>
      </c>
      <c r="Z22" s="79" t="s">
        <v>42</v>
      </c>
      <c r="AA22" s="79" t="s">
        <v>43</v>
      </c>
      <c r="AB22" s="79" t="s">
        <v>44</v>
      </c>
      <c r="AC22" s="79" t="s">
        <v>45</v>
      </c>
      <c r="AD22" s="79" t="s">
        <v>46</v>
      </c>
      <c r="AE22" s="79" t="s">
        <v>47</v>
      </c>
    </row>
    <row r="23" spans="3:32" x14ac:dyDescent="0.2">
      <c r="C23">
        <v>15</v>
      </c>
      <c r="D23" t="str">
        <f>VLOOKUP(C23,'Data Staging Provider Stats'!A:D,4,FALSE)</f>
        <v>Frank Fredson</v>
      </c>
      <c r="E23">
        <f>VLOOKUP(D23,'Data Staging Provider Stats'!D:AT,43,FALSE)</f>
        <v>15</v>
      </c>
      <c r="F23">
        <f>VLOOKUP($D23,'Data Staging Provider Stats'!$D:$AT,41,FALSE)</f>
        <v>8</v>
      </c>
      <c r="G23">
        <f>VLOOKUP($D23,'Data Staging Provider Stats'!$D:$AT,42,FALSE)</f>
        <v>7</v>
      </c>
      <c r="I23" t="str">
        <f t="shared" ref="I23:I26" si="2">D10</f>
        <v>Anna Stewart</v>
      </c>
      <c r="J23">
        <f>SUMIFS('Data Staging Provider Stats'!$AB:$AB,'Data Staging Provider Stats'!$D:$D,calcs!$I23)</f>
        <v>18</v>
      </c>
      <c r="K23">
        <f>SUMIFS('Data Staging Provider Stats'!$AE:$AE,'Data Staging Provider Stats'!$D:$D,calcs!$I23)</f>
        <v>17</v>
      </c>
      <c r="L23">
        <f>SUMIFS('Data Staging Provider Stats'!$AH:$AH,'Data Staging Provider Stats'!$D:$D,calcs!$I23)</f>
        <v>12</v>
      </c>
      <c r="M23">
        <f>SUMIFS('Data Staging Provider Stats'!$AK:$AK,'Data Staging Provider Stats'!$D:$D,calcs!$I23)</f>
        <v>15</v>
      </c>
      <c r="N23">
        <f>SUMIFS('Data Staging Provider Stats'!$AN:$AN,'Data Staging Provider Stats'!$D:$D,calcs!$I23)</f>
        <v>13</v>
      </c>
      <c r="O23">
        <f>SUMIFS('Data Staging Provider Stats'!$AQ:$AQ,'Data Staging Provider Stats'!$D:$D,calcs!$I23)</f>
        <v>17</v>
      </c>
      <c r="S23">
        <f>'Data Staging Lag'!E6</f>
        <v>414</v>
      </c>
      <c r="T23">
        <f>'Data Staging Lag'!F6</f>
        <v>353</v>
      </c>
      <c r="U23">
        <f>'Data Staging Lag'!G6</f>
        <v>299</v>
      </c>
      <c r="V23">
        <f>'Data Staging Lag'!H6</f>
        <v>331</v>
      </c>
      <c r="W23">
        <f>'Data Staging Lag'!I6</f>
        <v>362</v>
      </c>
      <c r="X23">
        <f>'Data Staging Lag'!J6</f>
        <v>366</v>
      </c>
      <c r="Y23">
        <f>'Data Staging Lag'!K6</f>
        <v>351</v>
      </c>
      <c r="Z23">
        <f>'Data Staging Lag'!L6</f>
        <v>384</v>
      </c>
      <c r="AA23">
        <f>'Data Staging Lag'!M6</f>
        <v>325</v>
      </c>
      <c r="AB23">
        <f>'Data Staging Lag'!N6</f>
        <v>332</v>
      </c>
      <c r="AC23">
        <f>'Data Staging Lag'!O6</f>
        <v>367</v>
      </c>
      <c r="AD23">
        <f>'Data Staging Lag'!P6</f>
        <v>276</v>
      </c>
      <c r="AE23">
        <f>'Data Staging Lag'!Q6</f>
        <v>366</v>
      </c>
    </row>
    <row r="24" spans="3:32" x14ac:dyDescent="0.2">
      <c r="I24" t="str">
        <f t="shared" si="2"/>
        <v>Mohammad Frye</v>
      </c>
      <c r="J24">
        <f>SUMIFS('Data Staging Provider Stats'!$AB:$AB,'Data Staging Provider Stats'!$D:$D,calcs!$I24)</f>
        <v>19</v>
      </c>
      <c r="K24">
        <f>SUMIFS('Data Staging Provider Stats'!$AE:$AE,'Data Staging Provider Stats'!$D:$D,calcs!$I24)</f>
        <v>12</v>
      </c>
      <c r="L24">
        <f>SUMIFS('Data Staging Provider Stats'!$AH:$AH,'Data Staging Provider Stats'!$D:$D,calcs!$I24)</f>
        <v>11</v>
      </c>
      <c r="M24">
        <f>SUMIFS('Data Staging Provider Stats'!$AK:$AK,'Data Staging Provider Stats'!$D:$D,calcs!$I24)</f>
        <v>14</v>
      </c>
      <c r="N24">
        <f>SUMIFS('Data Staging Provider Stats'!$AN:$AN,'Data Staging Provider Stats'!$D:$D,calcs!$I24)</f>
        <v>17</v>
      </c>
      <c r="O24">
        <f>SUMIFS('Data Staging Provider Stats'!$AQ:$AQ,'Data Staging Provider Stats'!$D:$D,calcs!$I24)</f>
        <v>26</v>
      </c>
    </row>
    <row r="25" spans="3:32" x14ac:dyDescent="0.2">
      <c r="I25" t="str">
        <f t="shared" si="2"/>
        <v>Jerry Smith</v>
      </c>
      <c r="J25">
        <f>SUMIFS('Data Staging Provider Stats'!$AB:$AB,'Data Staging Provider Stats'!$D:$D,calcs!$I25)</f>
        <v>15</v>
      </c>
      <c r="K25">
        <f>SUMIFS('Data Staging Provider Stats'!$AE:$AE,'Data Staging Provider Stats'!$D:$D,calcs!$I25)</f>
        <v>12</v>
      </c>
      <c r="L25">
        <f>SUMIFS('Data Staging Provider Stats'!$AH:$AH,'Data Staging Provider Stats'!$D:$D,calcs!$I25)</f>
        <v>14</v>
      </c>
      <c r="M25">
        <f>SUMIFS('Data Staging Provider Stats'!$AK:$AK,'Data Staging Provider Stats'!$D:$D,calcs!$I25)</f>
        <v>18</v>
      </c>
      <c r="N25">
        <f>SUMIFS('Data Staging Provider Stats'!$AN:$AN,'Data Staging Provider Stats'!$D:$D,calcs!$I25)</f>
        <v>12</v>
      </c>
      <c r="O25">
        <f>SUMIFS('Data Staging Provider Stats'!$AQ:$AQ,'Data Staging Provider Stats'!$D:$D,calcs!$I25)</f>
        <v>19</v>
      </c>
    </row>
    <row r="26" spans="3:32" x14ac:dyDescent="0.2">
      <c r="I26" t="str">
        <f t="shared" si="2"/>
        <v>Sabrina Byrd</v>
      </c>
      <c r="J26">
        <f>SUMIFS('Data Staging Provider Stats'!$AB:$AB,'Data Staging Provider Stats'!$D:$D,calcs!$I26)</f>
        <v>16</v>
      </c>
      <c r="K26">
        <f>SUMIFS('Data Staging Provider Stats'!$AE:$AE,'Data Staging Provider Stats'!$D:$D,calcs!$I26)</f>
        <v>12</v>
      </c>
      <c r="L26">
        <f>SUMIFS('Data Staging Provider Stats'!$AH:$AH,'Data Staging Provider Stats'!$D:$D,calcs!$I26)</f>
        <v>13</v>
      </c>
      <c r="M26">
        <f>SUMIFS('Data Staging Provider Stats'!$AK:$AK,'Data Staging Provider Stats'!$D:$D,calcs!$I26)</f>
        <v>22</v>
      </c>
      <c r="N26">
        <f>SUMIFS('Data Staging Provider Stats'!$AN:$AN,'Data Staging Provider Stats'!$D:$D,calcs!$I26)</f>
        <v>13</v>
      </c>
      <c r="O26">
        <f>SUMIFS('Data Staging Provider Stats'!$AQ:$AQ,'Data Staging Provider Stats'!$D:$D,calcs!$I26)</f>
        <v>13</v>
      </c>
    </row>
    <row r="27" spans="3:32" x14ac:dyDescent="0.2">
      <c r="D27" s="113" t="s">
        <v>28</v>
      </c>
      <c r="E27" s="113"/>
      <c r="F27" s="113"/>
      <c r="G27" s="113"/>
    </row>
    <row r="28" spans="3:32" x14ac:dyDescent="0.2">
      <c r="D28" s="113"/>
      <c r="E28" s="113"/>
      <c r="F28" s="113"/>
      <c r="G28" s="113"/>
    </row>
    <row r="29" spans="3:32" x14ac:dyDescent="0.2">
      <c r="D29" s="69"/>
      <c r="E29" t="s">
        <v>0</v>
      </c>
      <c r="F29" t="s">
        <v>2</v>
      </c>
      <c r="G29" t="s">
        <v>8</v>
      </c>
    </row>
    <row r="30" spans="3:32" x14ac:dyDescent="0.2">
      <c r="D30" s="69" t="s">
        <v>5</v>
      </c>
    </row>
    <row r="31" spans="3:32" x14ac:dyDescent="0.2">
      <c r="C31">
        <v>1</v>
      </c>
      <c r="D31" t="str">
        <f>VLOOKUP(C31,'Data Staging Practice Stats'!B:D,3,FALSE)</f>
        <v>North Georiga Medical Clinic</v>
      </c>
      <c r="E31">
        <f>VLOOKUP(D31,'Data Staging Practice Stats'!D:AT,43,FALSE)</f>
        <v>317</v>
      </c>
      <c r="F31">
        <f>VLOOKUP(D31,'Data Staging Practice Stats'!D:AT,41,FALSE)</f>
        <v>158</v>
      </c>
      <c r="G31">
        <f>VLOOKUP(D31,'Data Staging Practice Stats'!D:AT,42,FALSE)</f>
        <v>159</v>
      </c>
    </row>
    <row r="32" spans="3:32" x14ac:dyDescent="0.2">
      <c r="C32">
        <v>2</v>
      </c>
      <c r="D32" t="str">
        <f>VLOOKUP(C32,'Data Staging Practice Stats'!B:D,3,FALSE)</f>
        <v>Cornerstone Clinic</v>
      </c>
      <c r="E32">
        <f>VLOOKUP(D32,'Data Staging Practice Stats'!D:AT,43,FALSE)</f>
        <v>164</v>
      </c>
      <c r="F32">
        <f>VLOOKUP(D32,'Data Staging Practice Stats'!D:AT,41,FALSE)</f>
        <v>86</v>
      </c>
      <c r="G32">
        <f>VLOOKUP(D32,'Data Staging Practice Stats'!D:AT,42,FALSE)</f>
        <v>78</v>
      </c>
    </row>
    <row r="33" spans="3:7" x14ac:dyDescent="0.2">
      <c r="C33">
        <v>3</v>
      </c>
      <c r="D33" t="str">
        <f>VLOOKUP(C33,'Data Staging Practice Stats'!B:D,3,FALSE)</f>
        <v>Neighborhood Medical Clinic</v>
      </c>
      <c r="E33">
        <f>VLOOKUP(D33,'Data Staging Practice Stats'!D:AT,43,FALSE)</f>
        <v>158</v>
      </c>
      <c r="F33">
        <f>VLOOKUP(D33,'Data Staging Practice Stats'!D:AT,41,FALSE)</f>
        <v>78</v>
      </c>
      <c r="G33">
        <f>VLOOKUP(D33,'Data Staging Practice Stats'!D:AT,42,FALSE)</f>
        <v>80</v>
      </c>
    </row>
    <row r="34" spans="3:7" x14ac:dyDescent="0.2">
      <c r="C34">
        <v>4</v>
      </c>
      <c r="D34" t="str">
        <f>VLOOKUP(C34,'Data Staging Practice Stats'!B:D,3,FALSE)</f>
        <v>Georgia Urgent Care Center</v>
      </c>
      <c r="E34">
        <f>VLOOKUP(D34,'Data Staging Practice Stats'!D:AT,43,FALSE)</f>
        <v>154</v>
      </c>
      <c r="F34">
        <f>VLOOKUP(D34,'Data Staging Practice Stats'!D:AT,41,FALSE)</f>
        <v>77</v>
      </c>
      <c r="G34">
        <f>VLOOKUP(D34,'Data Staging Practice Stats'!D:AT,42,FALSE)</f>
        <v>77</v>
      </c>
    </row>
    <row r="35" spans="3:7" x14ac:dyDescent="0.2">
      <c r="C35">
        <v>5</v>
      </c>
      <c r="D35" t="str">
        <f>VLOOKUP(C35,'Data Staging Practice Stats'!B:D,3,FALSE)</f>
        <v>Prime Care Medical Center</v>
      </c>
      <c r="E35">
        <f>VLOOKUP(D35,'Data Staging Practice Stats'!D:AT,43,FALSE)</f>
        <v>152</v>
      </c>
      <c r="F35">
        <f>VLOOKUP(D35,'Data Staging Practice Stats'!D:AT,41,FALSE)</f>
        <v>64</v>
      </c>
      <c r="G35">
        <f>VLOOKUP(D35,'Data Staging Practice Stats'!D:AT,42,FALSE)</f>
        <v>88</v>
      </c>
    </row>
    <row r="36" spans="3:7" x14ac:dyDescent="0.2">
      <c r="C36">
        <v>6</v>
      </c>
      <c r="D36" t="str">
        <f>VLOOKUP(C36,'Data Staging Practice Stats'!B:D,3,FALSE)</f>
        <v>Community Health Center</v>
      </c>
      <c r="E36">
        <f>VLOOKUP(D36,'Data Staging Practice Stats'!D:AT,43,FALSE)</f>
        <v>151</v>
      </c>
      <c r="F36">
        <f>VLOOKUP(D36,'Data Staging Practice Stats'!D:AT,41,FALSE)</f>
        <v>79</v>
      </c>
      <c r="G36">
        <f>VLOOKUP(D36,'Data Staging Practice Stats'!D:AT,42,FALSE)</f>
        <v>72</v>
      </c>
    </row>
    <row r="37" spans="3:7" x14ac:dyDescent="0.2">
      <c r="C37">
        <v>7</v>
      </c>
      <c r="D37" t="str">
        <f>VLOOKUP(C37,'Data Staging Practice Stats'!B:D,3,FALSE)</f>
        <v>Emergency Medical Clinic</v>
      </c>
      <c r="E37">
        <f>VLOOKUP(D37,'Data Staging Practice Stats'!D:AT,43,FALSE)</f>
        <v>150</v>
      </c>
      <c r="F37">
        <f>VLOOKUP(D37,'Data Staging Practice Stats'!D:AT,41,FALSE)</f>
        <v>76</v>
      </c>
      <c r="G37">
        <f>VLOOKUP(D37,'Data Staging Practice Stats'!D:AT,42,FALSE)</f>
        <v>74</v>
      </c>
    </row>
    <row r="38" spans="3:7" x14ac:dyDescent="0.2">
      <c r="C38">
        <v>8</v>
      </c>
      <c r="D38" t="str">
        <f>VLOOKUP(C38,'Data Staging Practice Stats'!B:D,3,FALSE)</f>
        <v>East Georgia Medical Practice</v>
      </c>
      <c r="E38">
        <f>VLOOKUP(D38,'Data Staging Practice Stats'!D:AT,43,FALSE)</f>
        <v>148</v>
      </c>
      <c r="F38">
        <f>VLOOKUP(D38,'Data Staging Practice Stats'!D:AT,41,FALSE)</f>
        <v>68</v>
      </c>
      <c r="G38">
        <f>VLOOKUP(D38,'Data Staging Practice Stats'!D:AT,42,FALSE)</f>
        <v>80</v>
      </c>
    </row>
    <row r="39" spans="3:7" x14ac:dyDescent="0.2">
      <c r="C39">
        <v>9</v>
      </c>
      <c r="D39" t="str">
        <f>VLOOKUP(C39,'Data Staging Practice Stats'!B:D,3,FALSE)</f>
        <v>North Georgia Wellness Center</v>
      </c>
      <c r="E39">
        <f>VLOOKUP(D39,'Data Staging Practice Stats'!D:AT,43,FALSE)</f>
        <v>145</v>
      </c>
      <c r="F39">
        <f>VLOOKUP(D39,'Data Staging Practice Stats'!D:AT,41,FALSE)</f>
        <v>79</v>
      </c>
      <c r="G39">
        <f>VLOOKUP(D39,'Data Staging Practice Stats'!D:AT,42,FALSE)</f>
        <v>66</v>
      </c>
    </row>
    <row r="40" spans="3:7" x14ac:dyDescent="0.2">
      <c r="C40">
        <v>10</v>
      </c>
      <c r="D40" t="str">
        <f>VLOOKUP(C40,'Data Staging Practice Stats'!B:D,3,FALSE)</f>
        <v>South Georgia Family Practice</v>
      </c>
      <c r="E40">
        <f>VLOOKUP(D40,'Data Staging Practice Stats'!D:AT,43,FALSE)</f>
        <v>144</v>
      </c>
      <c r="F40">
        <f>VLOOKUP(D40,'Data Staging Practice Stats'!D:AT,41,FALSE)</f>
        <v>68</v>
      </c>
      <c r="G40">
        <f>VLOOKUP(D40,'Data Staging Practice Stats'!D:AT,42,FALSE)</f>
        <v>76</v>
      </c>
    </row>
    <row r="41" spans="3:7" x14ac:dyDescent="0.2">
      <c r="C41">
        <v>11</v>
      </c>
      <c r="D41" t="str">
        <f>VLOOKUP(C41,'Data Staging Practice Stats'!B:D,3,FALSE)</f>
        <v>Central Georigia Medical Practice</v>
      </c>
      <c r="E41">
        <f>VLOOKUP(D41,'Data Staging Practice Stats'!D:AT,43,FALSE)</f>
        <v>142</v>
      </c>
      <c r="F41">
        <f>VLOOKUP(D41,'Data Staging Practice Stats'!D:AT,41,FALSE)</f>
        <v>73</v>
      </c>
      <c r="G41">
        <f>VLOOKUP(D41,'Data Staging Practice Stats'!D:AT,42,FALSE)</f>
        <v>69</v>
      </c>
    </row>
    <row r="42" spans="3:7" x14ac:dyDescent="0.2">
      <c r="C42">
        <v>12</v>
      </c>
      <c r="D42" t="str">
        <f>VLOOKUP(C42,'Data Staging Practice Stats'!B:D,3,FALSE)</f>
        <v>Georgia Medical Partners</v>
      </c>
      <c r="E42">
        <f>VLOOKUP(D42,'Data Staging Practice Stats'!D:AT,43,FALSE)</f>
        <v>137</v>
      </c>
      <c r="F42">
        <f>VLOOKUP(D42,'Data Staging Practice Stats'!D:AT,41,FALSE)</f>
        <v>72</v>
      </c>
      <c r="G42">
        <f>VLOOKUP(D42,'Data Staging Practice Stats'!D:AT,42,FALSE)</f>
        <v>65</v>
      </c>
    </row>
    <row r="43" spans="3:7" x14ac:dyDescent="0.2">
      <c r="C43">
        <v>13</v>
      </c>
      <c r="D43" t="str">
        <f>VLOOKUP(C43,'Data Staging Practice Stats'!B:D,3,FALSE)</f>
        <v>Family Medical Practice</v>
      </c>
      <c r="E43">
        <f>VLOOKUP(D43,'Data Staging Practice Stats'!D:AT,43,FALSE)</f>
        <v>137</v>
      </c>
      <c r="F43">
        <f>VLOOKUP(D43,'Data Staging Practice Stats'!D:AT,41,FALSE)</f>
        <v>72</v>
      </c>
      <c r="G43">
        <f>VLOOKUP(D43,'Data Staging Practice Stats'!D:AT,42,FALSE)</f>
        <v>65</v>
      </c>
    </row>
    <row r="44" spans="3:7" x14ac:dyDescent="0.2">
      <c r="C44">
        <v>14</v>
      </c>
      <c r="D44" t="str">
        <f>VLOOKUP(C44,'Data Staging Practice Stats'!B:D,3,FALSE)</f>
        <v>Georgia Medical Clinic</v>
      </c>
      <c r="E44">
        <f>VLOOKUP(D44,'Data Staging Practice Stats'!D:AT,43,FALSE)</f>
        <v>129</v>
      </c>
      <c r="F44">
        <f>VLOOKUP(D44,'Data Staging Practice Stats'!D:AT,41,FALSE)</f>
        <v>55</v>
      </c>
      <c r="G44">
        <f>VLOOKUP(D44,'Data Staging Practice Stats'!D:AT,42,FALSE)</f>
        <v>74</v>
      </c>
    </row>
    <row r="45" spans="3:7" x14ac:dyDescent="0.2">
      <c r="C45">
        <v>15</v>
      </c>
      <c r="D45" t="str">
        <f>VLOOKUP(C45,'Data Staging Practice Stats'!B:D,3,FALSE)</f>
        <v>Georgia Healthcare Center</v>
      </c>
      <c r="E45">
        <f>VLOOKUP(D45,'Data Staging Practice Stats'!D:AT,43,FALSE)</f>
        <v>15</v>
      </c>
      <c r="F45">
        <f>VLOOKUP(D45,'Data Staging Practice Stats'!D:AT,41,FALSE)</f>
        <v>8</v>
      </c>
      <c r="G45">
        <f>VLOOKUP(D45,'Data Staging Practice Stats'!D:AT,42,FALSE)</f>
        <v>7</v>
      </c>
    </row>
  </sheetData>
  <mergeCells count="4">
    <mergeCell ref="D27:G28"/>
    <mergeCell ref="D1:E1"/>
    <mergeCell ref="I1:J1"/>
    <mergeCell ref="D5:G6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T1003"/>
  <sheetViews>
    <sheetView workbookViewId="0"/>
  </sheetViews>
  <sheetFormatPr defaultRowHeight="12.75" x14ac:dyDescent="0.2"/>
  <cols>
    <col min="4" max="4" width="32" bestFit="1" customWidth="1"/>
  </cols>
  <sheetData>
    <row r="3" spans="1:46" x14ac:dyDescent="0.2">
      <c r="AT3" s="63">
        <v>45658</v>
      </c>
    </row>
    <row r="5" spans="1:46" x14ac:dyDescent="0.2">
      <c r="E5" s="63">
        <v>45566</v>
      </c>
      <c r="F5" s="63">
        <v>45566</v>
      </c>
      <c r="G5" s="63">
        <v>45566</v>
      </c>
      <c r="H5" s="63">
        <v>45597</v>
      </c>
      <c r="I5" s="63">
        <v>45597</v>
      </c>
      <c r="J5" s="63">
        <v>45597</v>
      </c>
      <c r="K5" s="63">
        <v>45627</v>
      </c>
      <c r="L5" s="63">
        <v>45627</v>
      </c>
      <c r="M5" s="63">
        <v>45627</v>
      </c>
      <c r="N5" s="63">
        <v>45658</v>
      </c>
      <c r="O5" s="63">
        <v>45658</v>
      </c>
      <c r="P5" s="63">
        <v>45658</v>
      </c>
      <c r="Q5" s="63">
        <v>45689</v>
      </c>
      <c r="R5" s="63">
        <v>45689</v>
      </c>
      <c r="S5" s="63">
        <v>45689</v>
      </c>
      <c r="T5" s="63">
        <v>45717</v>
      </c>
      <c r="U5" s="63">
        <v>45717</v>
      </c>
      <c r="V5" s="63">
        <v>45717</v>
      </c>
      <c r="W5" s="63">
        <v>45748</v>
      </c>
      <c r="X5" s="63">
        <v>45748</v>
      </c>
      <c r="Y5" s="63">
        <v>45748</v>
      </c>
      <c r="Z5" s="63">
        <v>45778</v>
      </c>
      <c r="AA5" s="63">
        <v>45778</v>
      </c>
      <c r="AB5" s="63">
        <v>45778</v>
      </c>
      <c r="AC5" s="63">
        <v>45809</v>
      </c>
      <c r="AD5" s="63">
        <v>45809</v>
      </c>
      <c r="AE5" s="63">
        <v>45809</v>
      </c>
      <c r="AF5" s="63">
        <v>45839</v>
      </c>
      <c r="AG5" s="63">
        <v>45839</v>
      </c>
      <c r="AH5" s="63">
        <v>45839</v>
      </c>
      <c r="AI5" s="63">
        <v>45870</v>
      </c>
      <c r="AJ5" s="63">
        <v>45870</v>
      </c>
      <c r="AK5" s="63">
        <v>45870</v>
      </c>
      <c r="AL5" s="63">
        <v>45901</v>
      </c>
      <c r="AM5" s="63">
        <v>45901</v>
      </c>
      <c r="AN5" s="63">
        <v>45901</v>
      </c>
      <c r="AO5" s="63">
        <v>45931</v>
      </c>
      <c r="AP5" s="63">
        <v>45931</v>
      </c>
      <c r="AQ5" s="63">
        <v>45931</v>
      </c>
      <c r="AR5" t="s">
        <v>10</v>
      </c>
      <c r="AS5" t="s">
        <v>10</v>
      </c>
      <c r="AT5" t="s">
        <v>10</v>
      </c>
    </row>
    <row r="6" spans="1:46" x14ac:dyDescent="0.2">
      <c r="E6" t="s">
        <v>12</v>
      </c>
      <c r="F6" t="s">
        <v>13</v>
      </c>
      <c r="G6" t="s">
        <v>0</v>
      </c>
      <c r="H6" t="s">
        <v>12</v>
      </c>
      <c r="I6" t="s">
        <v>13</v>
      </c>
      <c r="J6" t="s">
        <v>0</v>
      </c>
      <c r="K6" t="s">
        <v>12</v>
      </c>
      <c r="L6" t="s">
        <v>13</v>
      </c>
      <c r="M6" t="s">
        <v>0</v>
      </c>
      <c r="N6" t="s">
        <v>12</v>
      </c>
      <c r="O6" t="s">
        <v>13</v>
      </c>
      <c r="P6" t="s">
        <v>0</v>
      </c>
      <c r="Q6" t="s">
        <v>12</v>
      </c>
      <c r="R6" t="s">
        <v>13</v>
      </c>
      <c r="S6" t="s">
        <v>0</v>
      </c>
      <c r="T6" t="s">
        <v>12</v>
      </c>
      <c r="U6" t="s">
        <v>13</v>
      </c>
      <c r="V6" t="s">
        <v>0</v>
      </c>
      <c r="W6" t="s">
        <v>12</v>
      </c>
      <c r="X6" t="s">
        <v>13</v>
      </c>
      <c r="Y6" t="s">
        <v>0</v>
      </c>
      <c r="Z6" t="s">
        <v>12</v>
      </c>
      <c r="AA6" t="s">
        <v>13</v>
      </c>
      <c r="AB6" t="s">
        <v>0</v>
      </c>
      <c r="AC6" t="s">
        <v>12</v>
      </c>
      <c r="AD6" t="s">
        <v>13</v>
      </c>
      <c r="AE6" t="s">
        <v>0</v>
      </c>
      <c r="AF6" t="s">
        <v>12</v>
      </c>
      <c r="AG6" t="s">
        <v>13</v>
      </c>
      <c r="AH6" t="s">
        <v>0</v>
      </c>
      <c r="AI6" t="s">
        <v>12</v>
      </c>
      <c r="AJ6" t="s">
        <v>13</v>
      </c>
      <c r="AK6" t="s">
        <v>0</v>
      </c>
      <c r="AL6" t="s">
        <v>12</v>
      </c>
      <c r="AM6" t="s">
        <v>13</v>
      </c>
      <c r="AN6" t="s">
        <v>0</v>
      </c>
      <c r="AO6" t="s">
        <v>12</v>
      </c>
      <c r="AP6" t="s">
        <v>13</v>
      </c>
      <c r="AQ6" t="s">
        <v>0</v>
      </c>
      <c r="AR6" t="s">
        <v>12</v>
      </c>
      <c r="AS6" t="s">
        <v>13</v>
      </c>
      <c r="AT6" t="s">
        <v>0</v>
      </c>
    </row>
    <row r="7" spans="1:46" x14ac:dyDescent="0.2">
      <c r="C7" t="s">
        <v>20</v>
      </c>
      <c r="D7" t="s">
        <v>0</v>
      </c>
      <c r="E7">
        <v>129</v>
      </c>
      <c r="F7">
        <v>129</v>
      </c>
      <c r="G7">
        <v>258</v>
      </c>
      <c r="H7">
        <v>118</v>
      </c>
      <c r="I7">
        <v>117</v>
      </c>
      <c r="J7">
        <v>235</v>
      </c>
      <c r="K7">
        <v>102</v>
      </c>
      <c r="L7">
        <v>102</v>
      </c>
      <c r="M7">
        <v>204</v>
      </c>
      <c r="N7">
        <v>124</v>
      </c>
      <c r="O7">
        <v>104</v>
      </c>
      <c r="P7">
        <v>228</v>
      </c>
      <c r="Q7">
        <v>99</v>
      </c>
      <c r="R7">
        <v>128</v>
      </c>
      <c r="S7">
        <v>227</v>
      </c>
      <c r="T7">
        <v>110</v>
      </c>
      <c r="U7">
        <v>126</v>
      </c>
      <c r="V7">
        <v>236</v>
      </c>
      <c r="W7">
        <v>120</v>
      </c>
      <c r="X7">
        <v>109</v>
      </c>
      <c r="Y7">
        <v>229</v>
      </c>
      <c r="Z7">
        <v>121</v>
      </c>
      <c r="AA7">
        <v>118</v>
      </c>
      <c r="AB7">
        <v>239</v>
      </c>
      <c r="AC7">
        <v>107</v>
      </c>
      <c r="AD7">
        <v>109</v>
      </c>
      <c r="AE7">
        <v>216</v>
      </c>
      <c r="AF7">
        <v>112</v>
      </c>
      <c r="AG7">
        <v>115</v>
      </c>
      <c r="AH7">
        <v>227</v>
      </c>
      <c r="AI7">
        <v>114</v>
      </c>
      <c r="AJ7">
        <v>109</v>
      </c>
      <c r="AK7">
        <v>223</v>
      </c>
      <c r="AL7">
        <v>76</v>
      </c>
      <c r="AM7">
        <v>97</v>
      </c>
      <c r="AN7">
        <v>173</v>
      </c>
      <c r="AO7">
        <v>130</v>
      </c>
      <c r="AP7">
        <v>115</v>
      </c>
      <c r="AQ7">
        <v>245</v>
      </c>
      <c r="AR7">
        <v>1113</v>
      </c>
      <c r="AS7">
        <v>1130</v>
      </c>
      <c r="AT7">
        <v>2243</v>
      </c>
    </row>
    <row r="8" spans="1:46" x14ac:dyDescent="0.2">
      <c r="A8">
        <v>14</v>
      </c>
      <c r="B8">
        <v>1</v>
      </c>
      <c r="C8" t="s">
        <v>48</v>
      </c>
      <c r="D8" t="s">
        <v>49</v>
      </c>
      <c r="E8">
        <v>6</v>
      </c>
      <c r="F8">
        <v>6</v>
      </c>
      <c r="G8">
        <v>12</v>
      </c>
      <c r="H8">
        <v>11</v>
      </c>
      <c r="I8">
        <v>8</v>
      </c>
      <c r="J8">
        <v>19</v>
      </c>
      <c r="K8">
        <v>14</v>
      </c>
      <c r="L8">
        <v>7</v>
      </c>
      <c r="M8">
        <v>21</v>
      </c>
      <c r="N8">
        <v>1</v>
      </c>
      <c r="O8">
        <v>8</v>
      </c>
      <c r="P8">
        <v>9</v>
      </c>
      <c r="Q8">
        <v>9</v>
      </c>
      <c r="R8">
        <v>11</v>
      </c>
      <c r="S8">
        <v>20</v>
      </c>
      <c r="T8">
        <v>5</v>
      </c>
      <c r="U8">
        <v>5</v>
      </c>
      <c r="V8">
        <v>10</v>
      </c>
      <c r="W8">
        <v>6</v>
      </c>
      <c r="X8">
        <v>12</v>
      </c>
      <c r="Y8">
        <v>18</v>
      </c>
      <c r="Z8">
        <v>9</v>
      </c>
      <c r="AA8">
        <v>7</v>
      </c>
      <c r="AB8">
        <v>16</v>
      </c>
      <c r="AC8">
        <v>8</v>
      </c>
      <c r="AD8">
        <v>5</v>
      </c>
      <c r="AE8">
        <v>13</v>
      </c>
      <c r="AF8">
        <v>3</v>
      </c>
      <c r="AG8">
        <v>7</v>
      </c>
      <c r="AH8">
        <v>10</v>
      </c>
      <c r="AI8">
        <v>6</v>
      </c>
      <c r="AJ8">
        <v>8</v>
      </c>
      <c r="AK8">
        <v>14</v>
      </c>
      <c r="AL8">
        <v>1</v>
      </c>
      <c r="AM8">
        <v>3</v>
      </c>
      <c r="AN8">
        <v>4</v>
      </c>
      <c r="AO8">
        <v>7</v>
      </c>
      <c r="AP8">
        <v>8</v>
      </c>
      <c r="AQ8">
        <v>15</v>
      </c>
      <c r="AR8">
        <v>55</v>
      </c>
      <c r="AS8">
        <v>74</v>
      </c>
      <c r="AT8">
        <v>129</v>
      </c>
    </row>
    <row r="9" spans="1:46" x14ac:dyDescent="0.2">
      <c r="A9">
        <v>13</v>
      </c>
      <c r="B9">
        <v>2</v>
      </c>
      <c r="C9" t="s">
        <v>50</v>
      </c>
      <c r="D9" t="s">
        <v>51</v>
      </c>
      <c r="E9">
        <v>10</v>
      </c>
      <c r="F9">
        <v>9</v>
      </c>
      <c r="G9">
        <v>19</v>
      </c>
      <c r="H9">
        <v>8</v>
      </c>
      <c r="I9">
        <v>12</v>
      </c>
      <c r="J9">
        <v>20</v>
      </c>
      <c r="K9">
        <v>6</v>
      </c>
      <c r="L9">
        <v>8</v>
      </c>
      <c r="M9">
        <v>14</v>
      </c>
      <c r="N9">
        <v>10</v>
      </c>
      <c r="O9">
        <v>8</v>
      </c>
      <c r="P9">
        <v>18</v>
      </c>
      <c r="Q9">
        <v>5</v>
      </c>
      <c r="R9">
        <v>9</v>
      </c>
      <c r="S9">
        <v>14</v>
      </c>
      <c r="T9">
        <v>7</v>
      </c>
      <c r="U9">
        <v>5</v>
      </c>
      <c r="V9">
        <v>12</v>
      </c>
      <c r="W9">
        <v>8</v>
      </c>
      <c r="X9">
        <v>6</v>
      </c>
      <c r="Y9">
        <v>14</v>
      </c>
      <c r="Z9">
        <v>9</v>
      </c>
      <c r="AA9">
        <v>5</v>
      </c>
      <c r="AB9">
        <v>14</v>
      </c>
      <c r="AC9">
        <v>3</v>
      </c>
      <c r="AD9">
        <v>5</v>
      </c>
      <c r="AE9">
        <v>8</v>
      </c>
      <c r="AF9">
        <v>6</v>
      </c>
      <c r="AG9">
        <v>9</v>
      </c>
      <c r="AH9">
        <v>15</v>
      </c>
      <c r="AI9">
        <v>9</v>
      </c>
      <c r="AJ9">
        <v>8</v>
      </c>
      <c r="AK9">
        <v>17</v>
      </c>
      <c r="AL9">
        <v>6</v>
      </c>
      <c r="AM9">
        <v>2</v>
      </c>
      <c r="AN9">
        <v>8</v>
      </c>
      <c r="AO9">
        <v>9</v>
      </c>
      <c r="AP9">
        <v>8</v>
      </c>
      <c r="AQ9">
        <v>17</v>
      </c>
      <c r="AR9">
        <v>72</v>
      </c>
      <c r="AS9">
        <v>65</v>
      </c>
      <c r="AT9">
        <v>137</v>
      </c>
    </row>
    <row r="10" spans="1:46" x14ac:dyDescent="0.2">
      <c r="A10">
        <v>1</v>
      </c>
      <c r="B10">
        <v>3</v>
      </c>
      <c r="C10" t="s">
        <v>52</v>
      </c>
      <c r="D10" t="s">
        <v>53</v>
      </c>
      <c r="E10">
        <v>20</v>
      </c>
      <c r="F10">
        <v>13</v>
      </c>
      <c r="G10">
        <v>33</v>
      </c>
      <c r="H10">
        <v>15</v>
      </c>
      <c r="I10">
        <v>18</v>
      </c>
      <c r="J10">
        <v>33</v>
      </c>
      <c r="K10">
        <v>12</v>
      </c>
      <c r="L10">
        <v>11</v>
      </c>
      <c r="M10">
        <v>23</v>
      </c>
      <c r="N10">
        <v>18</v>
      </c>
      <c r="O10">
        <v>14</v>
      </c>
      <c r="P10">
        <v>32</v>
      </c>
      <c r="Q10">
        <v>17</v>
      </c>
      <c r="R10">
        <v>17</v>
      </c>
      <c r="S10">
        <v>34</v>
      </c>
      <c r="T10">
        <v>14</v>
      </c>
      <c r="U10">
        <v>17</v>
      </c>
      <c r="V10">
        <v>31</v>
      </c>
      <c r="W10">
        <v>19</v>
      </c>
      <c r="X10">
        <v>15</v>
      </c>
      <c r="Y10">
        <v>34</v>
      </c>
      <c r="Z10">
        <v>8</v>
      </c>
      <c r="AA10">
        <v>13</v>
      </c>
      <c r="AB10">
        <v>21</v>
      </c>
      <c r="AC10">
        <v>19</v>
      </c>
      <c r="AD10">
        <v>15</v>
      </c>
      <c r="AE10">
        <v>34</v>
      </c>
      <c r="AF10">
        <v>14</v>
      </c>
      <c r="AG10">
        <v>19</v>
      </c>
      <c r="AH10">
        <v>33</v>
      </c>
      <c r="AI10">
        <v>16</v>
      </c>
      <c r="AJ10">
        <v>15</v>
      </c>
      <c r="AK10">
        <v>31</v>
      </c>
      <c r="AL10">
        <v>9</v>
      </c>
      <c r="AM10">
        <v>18</v>
      </c>
      <c r="AN10">
        <v>27</v>
      </c>
      <c r="AO10">
        <v>24</v>
      </c>
      <c r="AP10">
        <v>16</v>
      </c>
      <c r="AQ10">
        <v>40</v>
      </c>
      <c r="AR10">
        <v>158</v>
      </c>
      <c r="AS10">
        <v>159</v>
      </c>
      <c r="AT10">
        <v>317</v>
      </c>
    </row>
    <row r="11" spans="1:46" x14ac:dyDescent="0.2">
      <c r="A11">
        <v>8</v>
      </c>
      <c r="B11">
        <v>4</v>
      </c>
      <c r="C11" t="s">
        <v>54</v>
      </c>
      <c r="D11" t="s">
        <v>55</v>
      </c>
      <c r="E11">
        <v>3</v>
      </c>
      <c r="F11">
        <v>10</v>
      </c>
      <c r="G11">
        <v>13</v>
      </c>
      <c r="H11">
        <v>10</v>
      </c>
      <c r="I11">
        <v>4</v>
      </c>
      <c r="J11">
        <v>14</v>
      </c>
      <c r="K11">
        <v>7</v>
      </c>
      <c r="L11">
        <v>10</v>
      </c>
      <c r="M11">
        <v>17</v>
      </c>
      <c r="N11">
        <v>4</v>
      </c>
      <c r="O11">
        <v>12</v>
      </c>
      <c r="P11">
        <v>16</v>
      </c>
      <c r="Q11">
        <v>10</v>
      </c>
      <c r="R11">
        <v>11</v>
      </c>
      <c r="S11">
        <v>21</v>
      </c>
      <c r="T11">
        <v>4</v>
      </c>
      <c r="U11">
        <v>5</v>
      </c>
      <c r="V11">
        <v>9</v>
      </c>
      <c r="W11">
        <v>6</v>
      </c>
      <c r="X11">
        <v>9</v>
      </c>
      <c r="Y11">
        <v>15</v>
      </c>
      <c r="Z11">
        <v>9</v>
      </c>
      <c r="AA11">
        <v>10</v>
      </c>
      <c r="AB11">
        <v>19</v>
      </c>
      <c r="AC11">
        <v>6</v>
      </c>
      <c r="AD11">
        <v>8</v>
      </c>
      <c r="AE11">
        <v>14</v>
      </c>
      <c r="AF11">
        <v>8</v>
      </c>
      <c r="AG11">
        <v>5</v>
      </c>
      <c r="AH11">
        <v>13</v>
      </c>
      <c r="AI11">
        <v>4</v>
      </c>
      <c r="AJ11">
        <v>8</v>
      </c>
      <c r="AK11">
        <v>12</v>
      </c>
      <c r="AL11">
        <v>6</v>
      </c>
      <c r="AM11">
        <v>8</v>
      </c>
      <c r="AN11">
        <v>14</v>
      </c>
      <c r="AO11">
        <v>11</v>
      </c>
      <c r="AP11">
        <v>4</v>
      </c>
      <c r="AQ11">
        <v>15</v>
      </c>
      <c r="AR11">
        <v>68</v>
      </c>
      <c r="AS11">
        <v>80</v>
      </c>
      <c r="AT11">
        <v>148</v>
      </c>
    </row>
    <row r="12" spans="1:46" x14ac:dyDescent="0.2">
      <c r="A12">
        <v>9</v>
      </c>
      <c r="B12">
        <v>5</v>
      </c>
      <c r="C12" t="s">
        <v>56</v>
      </c>
      <c r="D12" t="s">
        <v>57</v>
      </c>
      <c r="E12">
        <v>4</v>
      </c>
      <c r="F12">
        <v>9</v>
      </c>
      <c r="G12">
        <v>13</v>
      </c>
      <c r="H12">
        <v>4</v>
      </c>
      <c r="I12">
        <v>5</v>
      </c>
      <c r="J12">
        <v>9</v>
      </c>
      <c r="K12">
        <v>8</v>
      </c>
      <c r="L12">
        <v>8</v>
      </c>
      <c r="M12">
        <v>16</v>
      </c>
      <c r="N12">
        <v>15</v>
      </c>
      <c r="O12">
        <v>3</v>
      </c>
      <c r="P12">
        <v>18</v>
      </c>
      <c r="Q12">
        <v>6</v>
      </c>
      <c r="R12">
        <v>9</v>
      </c>
      <c r="S12">
        <v>15</v>
      </c>
      <c r="T12">
        <v>5</v>
      </c>
      <c r="U12">
        <v>9</v>
      </c>
      <c r="V12">
        <v>14</v>
      </c>
      <c r="W12">
        <v>7</v>
      </c>
      <c r="X12">
        <v>6</v>
      </c>
      <c r="Y12">
        <v>13</v>
      </c>
      <c r="Z12">
        <v>7</v>
      </c>
      <c r="AA12">
        <v>5</v>
      </c>
      <c r="AB12">
        <v>12</v>
      </c>
      <c r="AC12">
        <v>9</v>
      </c>
      <c r="AD12">
        <v>14</v>
      </c>
      <c r="AE12">
        <v>23</v>
      </c>
      <c r="AF12">
        <v>7</v>
      </c>
      <c r="AG12">
        <v>8</v>
      </c>
      <c r="AH12">
        <v>15</v>
      </c>
      <c r="AI12">
        <v>9</v>
      </c>
      <c r="AJ12">
        <v>5</v>
      </c>
      <c r="AK12">
        <v>14</v>
      </c>
      <c r="AL12">
        <v>8</v>
      </c>
      <c r="AM12">
        <v>2</v>
      </c>
      <c r="AN12">
        <v>10</v>
      </c>
      <c r="AO12">
        <v>6</v>
      </c>
      <c r="AP12">
        <v>5</v>
      </c>
      <c r="AQ12">
        <v>11</v>
      </c>
      <c r="AR12">
        <v>79</v>
      </c>
      <c r="AS12">
        <v>66</v>
      </c>
      <c r="AT12">
        <v>145</v>
      </c>
    </row>
    <row r="13" spans="1:46" x14ac:dyDescent="0.2">
      <c r="A13">
        <v>6</v>
      </c>
      <c r="B13">
        <v>6</v>
      </c>
      <c r="C13" t="s">
        <v>58</v>
      </c>
      <c r="D13" t="s">
        <v>59</v>
      </c>
      <c r="E13">
        <v>8</v>
      </c>
      <c r="F13">
        <v>6</v>
      </c>
      <c r="G13">
        <v>14</v>
      </c>
      <c r="H13">
        <v>7</v>
      </c>
      <c r="I13">
        <v>6</v>
      </c>
      <c r="J13">
        <v>13</v>
      </c>
      <c r="K13">
        <v>8</v>
      </c>
      <c r="L13">
        <v>6</v>
      </c>
      <c r="M13">
        <v>14</v>
      </c>
      <c r="N13">
        <v>8</v>
      </c>
      <c r="O13">
        <v>4</v>
      </c>
      <c r="P13">
        <v>12</v>
      </c>
      <c r="Q13">
        <v>7</v>
      </c>
      <c r="R13">
        <v>8</v>
      </c>
      <c r="S13">
        <v>15</v>
      </c>
      <c r="T13">
        <v>6</v>
      </c>
      <c r="U13">
        <v>5</v>
      </c>
      <c r="V13">
        <v>11</v>
      </c>
      <c r="W13">
        <v>9</v>
      </c>
      <c r="X13">
        <v>5</v>
      </c>
      <c r="Y13">
        <v>14</v>
      </c>
      <c r="Z13">
        <v>13</v>
      </c>
      <c r="AA13">
        <v>9</v>
      </c>
      <c r="AB13">
        <v>22</v>
      </c>
      <c r="AC13">
        <v>6</v>
      </c>
      <c r="AD13">
        <v>9</v>
      </c>
      <c r="AE13">
        <v>15</v>
      </c>
      <c r="AF13">
        <v>7</v>
      </c>
      <c r="AG13">
        <v>14</v>
      </c>
      <c r="AH13">
        <v>21</v>
      </c>
      <c r="AI13">
        <v>6</v>
      </c>
      <c r="AJ13">
        <v>6</v>
      </c>
      <c r="AK13">
        <v>12</v>
      </c>
      <c r="AL13">
        <v>10</v>
      </c>
      <c r="AM13">
        <v>6</v>
      </c>
      <c r="AN13">
        <v>16</v>
      </c>
      <c r="AO13">
        <v>7</v>
      </c>
      <c r="AP13">
        <v>6</v>
      </c>
      <c r="AQ13">
        <v>13</v>
      </c>
      <c r="AR13">
        <v>79</v>
      </c>
      <c r="AS13">
        <v>72</v>
      </c>
      <c r="AT13">
        <v>151</v>
      </c>
    </row>
    <row r="14" spans="1:46" x14ac:dyDescent="0.2">
      <c r="A14">
        <v>12</v>
      </c>
      <c r="B14">
        <v>7</v>
      </c>
      <c r="C14" t="s">
        <v>60</v>
      </c>
      <c r="D14" t="s">
        <v>61</v>
      </c>
      <c r="E14">
        <v>6</v>
      </c>
      <c r="F14">
        <v>10</v>
      </c>
      <c r="G14">
        <v>16</v>
      </c>
      <c r="H14">
        <v>7</v>
      </c>
      <c r="I14">
        <v>12</v>
      </c>
      <c r="J14">
        <v>19</v>
      </c>
      <c r="K14">
        <v>9</v>
      </c>
      <c r="L14">
        <v>8</v>
      </c>
      <c r="M14">
        <v>17</v>
      </c>
      <c r="N14">
        <v>10</v>
      </c>
      <c r="O14">
        <v>7</v>
      </c>
      <c r="P14">
        <v>17</v>
      </c>
      <c r="Q14">
        <v>5</v>
      </c>
      <c r="R14">
        <v>7</v>
      </c>
      <c r="S14">
        <v>12</v>
      </c>
      <c r="T14">
        <v>9</v>
      </c>
      <c r="U14">
        <v>4</v>
      </c>
      <c r="V14">
        <v>13</v>
      </c>
      <c r="W14">
        <v>3</v>
      </c>
      <c r="X14">
        <v>3</v>
      </c>
      <c r="Y14">
        <v>6</v>
      </c>
      <c r="Z14">
        <v>7</v>
      </c>
      <c r="AA14">
        <v>9</v>
      </c>
      <c r="AB14">
        <v>16</v>
      </c>
      <c r="AC14">
        <v>8</v>
      </c>
      <c r="AD14">
        <v>8</v>
      </c>
      <c r="AE14">
        <v>16</v>
      </c>
      <c r="AF14">
        <v>12</v>
      </c>
      <c r="AG14">
        <v>9</v>
      </c>
      <c r="AH14">
        <v>21</v>
      </c>
      <c r="AI14">
        <v>7</v>
      </c>
      <c r="AJ14">
        <v>4</v>
      </c>
      <c r="AK14">
        <v>11</v>
      </c>
      <c r="AL14">
        <v>1</v>
      </c>
      <c r="AM14">
        <v>7</v>
      </c>
      <c r="AN14">
        <v>8</v>
      </c>
      <c r="AO14">
        <v>10</v>
      </c>
      <c r="AP14">
        <v>7</v>
      </c>
      <c r="AQ14">
        <v>17</v>
      </c>
      <c r="AR14">
        <v>72</v>
      </c>
      <c r="AS14">
        <v>65</v>
      </c>
      <c r="AT14">
        <v>137</v>
      </c>
    </row>
    <row r="15" spans="1:46" x14ac:dyDescent="0.2">
      <c r="A15">
        <v>10</v>
      </c>
      <c r="B15">
        <v>8</v>
      </c>
      <c r="C15" t="s">
        <v>62</v>
      </c>
      <c r="D15" t="s">
        <v>63</v>
      </c>
      <c r="E15">
        <v>7</v>
      </c>
      <c r="F15">
        <v>10</v>
      </c>
      <c r="G15">
        <v>17</v>
      </c>
      <c r="H15">
        <v>9</v>
      </c>
      <c r="I15">
        <v>11</v>
      </c>
      <c r="J15">
        <v>20</v>
      </c>
      <c r="K15">
        <v>5</v>
      </c>
      <c r="L15">
        <v>7</v>
      </c>
      <c r="M15">
        <v>12</v>
      </c>
      <c r="N15">
        <v>8</v>
      </c>
      <c r="O15">
        <v>8</v>
      </c>
      <c r="P15">
        <v>16</v>
      </c>
      <c r="Q15">
        <v>2</v>
      </c>
      <c r="R15">
        <v>5</v>
      </c>
      <c r="S15">
        <v>7</v>
      </c>
      <c r="T15">
        <v>9</v>
      </c>
      <c r="U15">
        <v>19</v>
      </c>
      <c r="V15">
        <v>28</v>
      </c>
      <c r="W15">
        <v>5</v>
      </c>
      <c r="X15">
        <v>3</v>
      </c>
      <c r="Y15">
        <v>8</v>
      </c>
      <c r="Z15">
        <v>8</v>
      </c>
      <c r="AA15">
        <v>9</v>
      </c>
      <c r="AB15">
        <v>17</v>
      </c>
      <c r="AC15">
        <v>5</v>
      </c>
      <c r="AD15">
        <v>4</v>
      </c>
      <c r="AE15">
        <v>9</v>
      </c>
      <c r="AF15">
        <v>14</v>
      </c>
      <c r="AG15">
        <v>6</v>
      </c>
      <c r="AH15">
        <v>20</v>
      </c>
      <c r="AI15">
        <v>9</v>
      </c>
      <c r="AJ15">
        <v>8</v>
      </c>
      <c r="AK15">
        <v>17</v>
      </c>
      <c r="AL15">
        <v>5</v>
      </c>
      <c r="AM15">
        <v>7</v>
      </c>
      <c r="AN15">
        <v>12</v>
      </c>
      <c r="AO15">
        <v>3</v>
      </c>
      <c r="AP15">
        <v>7</v>
      </c>
      <c r="AQ15">
        <v>10</v>
      </c>
      <c r="AR15">
        <v>68</v>
      </c>
      <c r="AS15">
        <v>76</v>
      </c>
      <c r="AT15">
        <v>144</v>
      </c>
    </row>
    <row r="16" spans="1:46" x14ac:dyDescent="0.2">
      <c r="A16">
        <v>4</v>
      </c>
      <c r="B16">
        <v>9</v>
      </c>
      <c r="C16" t="s">
        <v>64</v>
      </c>
      <c r="D16" t="s">
        <v>65</v>
      </c>
      <c r="E16">
        <v>12</v>
      </c>
      <c r="F16">
        <v>11</v>
      </c>
      <c r="G16">
        <v>23</v>
      </c>
      <c r="H16">
        <v>7</v>
      </c>
      <c r="I16">
        <v>11</v>
      </c>
      <c r="J16">
        <v>18</v>
      </c>
      <c r="K16">
        <v>7</v>
      </c>
      <c r="L16">
        <v>5</v>
      </c>
      <c r="M16">
        <v>12</v>
      </c>
      <c r="N16">
        <v>8</v>
      </c>
      <c r="O16">
        <v>9</v>
      </c>
      <c r="P16">
        <v>17</v>
      </c>
      <c r="Q16">
        <v>5</v>
      </c>
      <c r="R16">
        <v>5</v>
      </c>
      <c r="S16">
        <v>10</v>
      </c>
      <c r="T16">
        <v>7</v>
      </c>
      <c r="U16">
        <v>10</v>
      </c>
      <c r="V16">
        <v>17</v>
      </c>
      <c r="W16">
        <v>11</v>
      </c>
      <c r="X16">
        <v>9</v>
      </c>
      <c r="Y16">
        <v>20</v>
      </c>
      <c r="Z16">
        <v>7</v>
      </c>
      <c r="AA16">
        <v>8</v>
      </c>
      <c r="AB16">
        <v>15</v>
      </c>
      <c r="AC16">
        <v>5</v>
      </c>
      <c r="AD16">
        <v>7</v>
      </c>
      <c r="AE16">
        <v>12</v>
      </c>
      <c r="AF16">
        <v>6</v>
      </c>
      <c r="AG16">
        <v>8</v>
      </c>
      <c r="AH16">
        <v>14</v>
      </c>
      <c r="AI16">
        <v>12</v>
      </c>
      <c r="AJ16">
        <v>6</v>
      </c>
      <c r="AK16">
        <v>18</v>
      </c>
      <c r="AL16">
        <v>4</v>
      </c>
      <c r="AM16">
        <v>8</v>
      </c>
      <c r="AN16">
        <v>12</v>
      </c>
      <c r="AO16">
        <v>12</v>
      </c>
      <c r="AP16">
        <v>7</v>
      </c>
      <c r="AQ16">
        <v>19</v>
      </c>
      <c r="AR16">
        <v>77</v>
      </c>
      <c r="AS16">
        <v>77</v>
      </c>
      <c r="AT16">
        <v>154</v>
      </c>
    </row>
    <row r="17" spans="1:46" x14ac:dyDescent="0.2">
      <c r="A17">
        <v>7</v>
      </c>
      <c r="B17">
        <v>10</v>
      </c>
      <c r="C17" t="s">
        <v>66</v>
      </c>
      <c r="D17" t="s">
        <v>67</v>
      </c>
      <c r="E17">
        <v>12</v>
      </c>
      <c r="F17">
        <v>10</v>
      </c>
      <c r="G17">
        <v>22</v>
      </c>
      <c r="H17">
        <v>8</v>
      </c>
      <c r="I17">
        <v>4</v>
      </c>
      <c r="J17">
        <v>12</v>
      </c>
      <c r="K17">
        <v>6</v>
      </c>
      <c r="L17">
        <v>6</v>
      </c>
      <c r="M17">
        <v>12</v>
      </c>
      <c r="N17">
        <v>9</v>
      </c>
      <c r="O17">
        <v>6</v>
      </c>
      <c r="P17">
        <v>15</v>
      </c>
      <c r="Q17">
        <v>6</v>
      </c>
      <c r="R17">
        <v>10</v>
      </c>
      <c r="S17">
        <v>16</v>
      </c>
      <c r="T17">
        <v>6</v>
      </c>
      <c r="U17">
        <v>9</v>
      </c>
      <c r="V17">
        <v>15</v>
      </c>
      <c r="W17">
        <v>13</v>
      </c>
      <c r="X17">
        <v>7</v>
      </c>
      <c r="Y17">
        <v>20</v>
      </c>
      <c r="Z17">
        <v>9</v>
      </c>
      <c r="AA17">
        <v>9</v>
      </c>
      <c r="AB17">
        <v>18</v>
      </c>
      <c r="AC17">
        <v>10</v>
      </c>
      <c r="AD17">
        <v>6</v>
      </c>
      <c r="AE17">
        <v>16</v>
      </c>
      <c r="AF17">
        <v>7</v>
      </c>
      <c r="AG17">
        <v>5</v>
      </c>
      <c r="AH17">
        <v>12</v>
      </c>
      <c r="AI17">
        <v>5</v>
      </c>
      <c r="AJ17">
        <v>8</v>
      </c>
      <c r="AK17">
        <v>13</v>
      </c>
      <c r="AL17">
        <v>3</v>
      </c>
      <c r="AM17">
        <v>4</v>
      </c>
      <c r="AN17">
        <v>7</v>
      </c>
      <c r="AO17">
        <v>8</v>
      </c>
      <c r="AP17">
        <v>10</v>
      </c>
      <c r="AQ17">
        <v>18</v>
      </c>
      <c r="AR17">
        <v>76</v>
      </c>
      <c r="AS17">
        <v>74</v>
      </c>
      <c r="AT17">
        <v>150</v>
      </c>
    </row>
    <row r="18" spans="1:46" x14ac:dyDescent="0.2">
      <c r="A18">
        <v>11</v>
      </c>
      <c r="B18">
        <v>11</v>
      </c>
      <c r="C18" t="s">
        <v>68</v>
      </c>
      <c r="D18" t="s">
        <v>69</v>
      </c>
      <c r="E18">
        <v>8</v>
      </c>
      <c r="F18">
        <v>9</v>
      </c>
      <c r="G18">
        <v>17</v>
      </c>
      <c r="H18">
        <v>2</v>
      </c>
      <c r="I18">
        <v>4</v>
      </c>
      <c r="J18">
        <v>6</v>
      </c>
      <c r="K18">
        <v>4</v>
      </c>
      <c r="L18">
        <v>8</v>
      </c>
      <c r="M18">
        <v>12</v>
      </c>
      <c r="N18">
        <v>9</v>
      </c>
      <c r="O18">
        <v>5</v>
      </c>
      <c r="P18">
        <v>14</v>
      </c>
      <c r="Q18">
        <v>6</v>
      </c>
      <c r="R18">
        <v>8</v>
      </c>
      <c r="S18">
        <v>14</v>
      </c>
      <c r="T18">
        <v>8</v>
      </c>
      <c r="U18">
        <v>11</v>
      </c>
      <c r="V18">
        <v>19</v>
      </c>
      <c r="W18">
        <v>10</v>
      </c>
      <c r="X18">
        <v>8</v>
      </c>
      <c r="Y18">
        <v>18</v>
      </c>
      <c r="Z18">
        <v>6</v>
      </c>
      <c r="AA18">
        <v>9</v>
      </c>
      <c r="AB18">
        <v>15</v>
      </c>
      <c r="AC18">
        <v>9</v>
      </c>
      <c r="AD18">
        <v>5</v>
      </c>
      <c r="AE18">
        <v>14</v>
      </c>
      <c r="AF18">
        <v>10</v>
      </c>
      <c r="AG18">
        <v>5</v>
      </c>
      <c r="AH18">
        <v>15</v>
      </c>
      <c r="AI18">
        <v>4</v>
      </c>
      <c r="AJ18">
        <v>7</v>
      </c>
      <c r="AK18">
        <v>11</v>
      </c>
      <c r="AL18">
        <v>4</v>
      </c>
      <c r="AM18">
        <v>5</v>
      </c>
      <c r="AN18">
        <v>9</v>
      </c>
      <c r="AO18">
        <v>7</v>
      </c>
      <c r="AP18">
        <v>6</v>
      </c>
      <c r="AQ18">
        <v>13</v>
      </c>
      <c r="AR18">
        <v>73</v>
      </c>
      <c r="AS18">
        <v>69</v>
      </c>
      <c r="AT18">
        <v>142</v>
      </c>
    </row>
    <row r="19" spans="1:46" x14ac:dyDescent="0.2">
      <c r="A19">
        <v>5</v>
      </c>
      <c r="B19">
        <v>12</v>
      </c>
      <c r="C19" t="s">
        <v>70</v>
      </c>
      <c r="D19" t="s">
        <v>71</v>
      </c>
      <c r="E19">
        <v>10</v>
      </c>
      <c r="F19">
        <v>9</v>
      </c>
      <c r="G19">
        <v>19</v>
      </c>
      <c r="H19">
        <v>11</v>
      </c>
      <c r="I19">
        <v>8</v>
      </c>
      <c r="J19">
        <v>19</v>
      </c>
      <c r="K19">
        <v>5</v>
      </c>
      <c r="L19">
        <v>7</v>
      </c>
      <c r="M19">
        <v>12</v>
      </c>
      <c r="N19">
        <v>4</v>
      </c>
      <c r="O19">
        <v>6</v>
      </c>
      <c r="P19">
        <v>10</v>
      </c>
      <c r="Q19">
        <v>7</v>
      </c>
      <c r="R19">
        <v>8</v>
      </c>
      <c r="S19">
        <v>15</v>
      </c>
      <c r="T19">
        <v>6</v>
      </c>
      <c r="U19">
        <v>11</v>
      </c>
      <c r="V19">
        <v>17</v>
      </c>
      <c r="W19">
        <v>12</v>
      </c>
      <c r="X19">
        <v>9</v>
      </c>
      <c r="Y19">
        <v>21</v>
      </c>
      <c r="Z19">
        <v>8</v>
      </c>
      <c r="AA19">
        <v>8</v>
      </c>
      <c r="AB19">
        <v>16</v>
      </c>
      <c r="AC19">
        <v>7</v>
      </c>
      <c r="AD19">
        <v>5</v>
      </c>
      <c r="AE19">
        <v>12</v>
      </c>
      <c r="AF19">
        <v>4</v>
      </c>
      <c r="AG19">
        <v>9</v>
      </c>
      <c r="AH19">
        <v>13</v>
      </c>
      <c r="AI19">
        <v>8</v>
      </c>
      <c r="AJ19">
        <v>14</v>
      </c>
      <c r="AK19">
        <v>22</v>
      </c>
      <c r="AL19">
        <v>4</v>
      </c>
      <c r="AM19">
        <v>9</v>
      </c>
      <c r="AN19">
        <v>13</v>
      </c>
      <c r="AO19">
        <v>4</v>
      </c>
      <c r="AP19">
        <v>9</v>
      </c>
      <c r="AQ19">
        <v>13</v>
      </c>
      <c r="AR19">
        <v>64</v>
      </c>
      <c r="AS19">
        <v>88</v>
      </c>
      <c r="AT19">
        <v>152</v>
      </c>
    </row>
    <row r="20" spans="1:46" x14ac:dyDescent="0.2">
      <c r="A20">
        <v>3</v>
      </c>
      <c r="B20">
        <v>13</v>
      </c>
      <c r="C20" t="s">
        <v>72</v>
      </c>
      <c r="D20" t="s">
        <v>73</v>
      </c>
      <c r="E20">
        <v>11</v>
      </c>
      <c r="F20">
        <v>8</v>
      </c>
      <c r="G20">
        <v>19</v>
      </c>
      <c r="H20">
        <v>13</v>
      </c>
      <c r="I20">
        <v>5</v>
      </c>
      <c r="J20">
        <v>18</v>
      </c>
      <c r="K20">
        <v>5</v>
      </c>
      <c r="L20">
        <v>5</v>
      </c>
      <c r="M20">
        <v>10</v>
      </c>
      <c r="N20">
        <v>9</v>
      </c>
      <c r="O20">
        <v>7</v>
      </c>
      <c r="P20">
        <v>16</v>
      </c>
      <c r="Q20">
        <v>6</v>
      </c>
      <c r="R20">
        <v>8</v>
      </c>
      <c r="S20">
        <v>14</v>
      </c>
      <c r="T20">
        <v>13</v>
      </c>
      <c r="U20">
        <v>7</v>
      </c>
      <c r="V20">
        <v>20</v>
      </c>
      <c r="W20">
        <v>4</v>
      </c>
      <c r="X20">
        <v>5</v>
      </c>
      <c r="Y20">
        <v>9</v>
      </c>
      <c r="Z20">
        <v>13</v>
      </c>
      <c r="AA20">
        <v>6</v>
      </c>
      <c r="AB20">
        <v>19</v>
      </c>
      <c r="AC20">
        <v>3</v>
      </c>
      <c r="AD20">
        <v>9</v>
      </c>
      <c r="AE20">
        <v>12</v>
      </c>
      <c r="AF20">
        <v>3</v>
      </c>
      <c r="AG20">
        <v>8</v>
      </c>
      <c r="AH20">
        <v>11</v>
      </c>
      <c r="AI20">
        <v>9</v>
      </c>
      <c r="AJ20">
        <v>5</v>
      </c>
      <c r="AK20">
        <v>14</v>
      </c>
      <c r="AL20">
        <v>6</v>
      </c>
      <c r="AM20">
        <v>11</v>
      </c>
      <c r="AN20">
        <v>17</v>
      </c>
      <c r="AO20">
        <v>12</v>
      </c>
      <c r="AP20">
        <v>14</v>
      </c>
      <c r="AQ20">
        <v>26</v>
      </c>
      <c r="AR20">
        <v>78</v>
      </c>
      <c r="AS20">
        <v>80</v>
      </c>
      <c r="AT20">
        <v>158</v>
      </c>
    </row>
    <row r="21" spans="1:46" x14ac:dyDescent="0.2">
      <c r="A21">
        <v>2</v>
      </c>
      <c r="B21">
        <v>14</v>
      </c>
      <c r="C21" t="s">
        <v>74</v>
      </c>
      <c r="D21" t="s">
        <v>75</v>
      </c>
      <c r="E21">
        <v>9</v>
      </c>
      <c r="F21">
        <v>5</v>
      </c>
      <c r="G21">
        <v>14</v>
      </c>
      <c r="H21">
        <v>5</v>
      </c>
      <c r="I21">
        <v>9</v>
      </c>
      <c r="J21">
        <v>14</v>
      </c>
      <c r="K21">
        <v>6</v>
      </c>
      <c r="L21">
        <v>6</v>
      </c>
      <c r="M21">
        <v>12</v>
      </c>
      <c r="N21">
        <v>11</v>
      </c>
      <c r="O21">
        <v>6</v>
      </c>
      <c r="P21">
        <v>17</v>
      </c>
      <c r="Q21">
        <v>8</v>
      </c>
      <c r="R21">
        <v>12</v>
      </c>
      <c r="S21">
        <v>20</v>
      </c>
      <c r="T21">
        <v>9</v>
      </c>
      <c r="U21">
        <v>9</v>
      </c>
      <c r="V21">
        <v>18</v>
      </c>
      <c r="W21">
        <v>7</v>
      </c>
      <c r="X21">
        <v>10</v>
      </c>
      <c r="Y21">
        <v>17</v>
      </c>
      <c r="Z21">
        <v>7</v>
      </c>
      <c r="AA21">
        <v>11</v>
      </c>
      <c r="AB21">
        <v>18</v>
      </c>
      <c r="AC21">
        <v>9</v>
      </c>
      <c r="AD21">
        <v>8</v>
      </c>
      <c r="AE21">
        <v>17</v>
      </c>
      <c r="AF21">
        <v>9</v>
      </c>
      <c r="AG21">
        <v>3</v>
      </c>
      <c r="AH21">
        <v>12</v>
      </c>
      <c r="AI21">
        <v>9</v>
      </c>
      <c r="AJ21">
        <v>6</v>
      </c>
      <c r="AK21">
        <v>15</v>
      </c>
      <c r="AL21">
        <v>7</v>
      </c>
      <c r="AM21">
        <v>6</v>
      </c>
      <c r="AN21">
        <v>13</v>
      </c>
      <c r="AO21">
        <v>10</v>
      </c>
      <c r="AP21">
        <v>7</v>
      </c>
      <c r="AQ21">
        <v>17</v>
      </c>
      <c r="AR21">
        <v>86</v>
      </c>
      <c r="AS21">
        <v>78</v>
      </c>
      <c r="AT21">
        <v>164</v>
      </c>
    </row>
    <row r="22" spans="1:46" x14ac:dyDescent="0.2">
      <c r="A22">
        <v>15</v>
      </c>
      <c r="B22">
        <v>15</v>
      </c>
      <c r="C22" t="s">
        <v>76</v>
      </c>
      <c r="D22" t="s">
        <v>77</v>
      </c>
      <c r="E22">
        <v>3</v>
      </c>
      <c r="F22">
        <v>4</v>
      </c>
      <c r="G22">
        <v>7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2</v>
      </c>
      <c r="U22">
        <v>0</v>
      </c>
      <c r="V22">
        <v>2</v>
      </c>
      <c r="W22">
        <v>0</v>
      </c>
      <c r="X22">
        <v>2</v>
      </c>
      <c r="Y22">
        <v>2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2</v>
      </c>
      <c r="AG22">
        <v>0</v>
      </c>
      <c r="AH22">
        <v>2</v>
      </c>
      <c r="AI22">
        <v>1</v>
      </c>
      <c r="AJ22">
        <v>1</v>
      </c>
      <c r="AK22">
        <v>2</v>
      </c>
      <c r="AL22">
        <v>2</v>
      </c>
      <c r="AM22">
        <v>1</v>
      </c>
      <c r="AN22">
        <v>3</v>
      </c>
      <c r="AO22">
        <v>0</v>
      </c>
      <c r="AP22">
        <v>1</v>
      </c>
      <c r="AQ22">
        <v>1</v>
      </c>
      <c r="AR22">
        <v>8</v>
      </c>
      <c r="AS22">
        <v>7</v>
      </c>
      <c r="AT22">
        <v>15</v>
      </c>
    </row>
    <row r="23" spans="1:46" x14ac:dyDescent="0.2">
      <c r="A23">
        <v>996</v>
      </c>
      <c r="B23">
        <v>16</v>
      </c>
      <c r="C23" t="s">
        <v>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">
      <c r="A24">
        <v>995</v>
      </c>
      <c r="B24">
        <v>17</v>
      </c>
      <c r="C24" t="s">
        <v>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">
      <c r="A25">
        <v>994</v>
      </c>
      <c r="B25">
        <v>18</v>
      </c>
      <c r="C25" t="s">
        <v>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">
      <c r="A26">
        <v>993</v>
      </c>
      <c r="B26">
        <v>19</v>
      </c>
      <c r="C26" t="s">
        <v>21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">
      <c r="A27">
        <v>992</v>
      </c>
      <c r="B27">
        <v>20</v>
      </c>
      <c r="C27" t="s">
        <v>21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2">
      <c r="A28">
        <v>991</v>
      </c>
      <c r="B28">
        <v>21</v>
      </c>
      <c r="C28" t="s">
        <v>21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">
      <c r="A29">
        <v>990</v>
      </c>
      <c r="B29">
        <v>22</v>
      </c>
      <c r="C29" t="s">
        <v>21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">
      <c r="A30">
        <v>989</v>
      </c>
      <c r="B30">
        <v>23</v>
      </c>
      <c r="C30" t="s">
        <v>21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">
      <c r="A31">
        <v>988</v>
      </c>
      <c r="B31">
        <v>24</v>
      </c>
      <c r="C31" t="s">
        <v>21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">
      <c r="A32">
        <v>987</v>
      </c>
      <c r="B32">
        <v>25</v>
      </c>
      <c r="C32" t="s">
        <v>21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2">
      <c r="A33">
        <v>986</v>
      </c>
      <c r="B33">
        <v>26</v>
      </c>
      <c r="C33" t="s">
        <v>21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">
      <c r="A34">
        <v>985</v>
      </c>
      <c r="B34">
        <v>27</v>
      </c>
      <c r="C34" t="s">
        <v>21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">
      <c r="A35">
        <v>984</v>
      </c>
      <c r="B35">
        <v>28</v>
      </c>
      <c r="C35" t="s">
        <v>21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">
      <c r="A36">
        <v>983</v>
      </c>
      <c r="B36">
        <v>29</v>
      </c>
      <c r="C36" t="s">
        <v>21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">
      <c r="A37">
        <v>982</v>
      </c>
      <c r="B37">
        <v>30</v>
      </c>
      <c r="C37" t="s">
        <v>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2">
      <c r="A38">
        <v>981</v>
      </c>
      <c r="B38">
        <v>31</v>
      </c>
      <c r="C38" t="s">
        <v>21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">
      <c r="A39">
        <v>980</v>
      </c>
      <c r="B39">
        <v>32</v>
      </c>
      <c r="C39" t="s">
        <v>21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">
      <c r="A40">
        <v>979</v>
      </c>
      <c r="B40">
        <v>33</v>
      </c>
      <c r="C40" t="s">
        <v>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x14ac:dyDescent="0.2">
      <c r="A41">
        <v>978</v>
      </c>
      <c r="B41">
        <v>34</v>
      </c>
      <c r="C41" t="s">
        <v>21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2">
      <c r="A42">
        <v>977</v>
      </c>
      <c r="B42">
        <v>35</v>
      </c>
      <c r="C42" t="s">
        <v>21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2">
      <c r="A43">
        <v>976</v>
      </c>
      <c r="B43">
        <v>36</v>
      </c>
      <c r="C43" t="s">
        <v>21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 x14ac:dyDescent="0.2">
      <c r="A44">
        <v>975</v>
      </c>
      <c r="B44">
        <v>37</v>
      </c>
      <c r="C44" t="s">
        <v>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2">
      <c r="A45">
        <v>974</v>
      </c>
      <c r="B45">
        <v>38</v>
      </c>
      <c r="C45" t="s">
        <v>21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">
      <c r="A46">
        <v>973</v>
      </c>
      <c r="B46">
        <v>39</v>
      </c>
      <c r="C46" t="s">
        <v>21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 x14ac:dyDescent="0.2">
      <c r="A47">
        <v>972</v>
      </c>
      <c r="B47">
        <v>40</v>
      </c>
      <c r="C47" t="s">
        <v>21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2">
      <c r="A48">
        <v>971</v>
      </c>
      <c r="B48">
        <v>41</v>
      </c>
      <c r="C48" t="s">
        <v>21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">
      <c r="A49">
        <v>970</v>
      </c>
      <c r="B49">
        <v>42</v>
      </c>
      <c r="C49" t="s">
        <v>21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 x14ac:dyDescent="0.2">
      <c r="A50">
        <v>969</v>
      </c>
      <c r="B50">
        <v>43</v>
      </c>
      <c r="C50" t="s">
        <v>21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2">
      <c r="A51">
        <v>968</v>
      </c>
      <c r="B51">
        <v>44</v>
      </c>
      <c r="C51" t="s">
        <v>21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2">
      <c r="A52">
        <v>967</v>
      </c>
      <c r="B52">
        <v>45</v>
      </c>
      <c r="C52" t="s">
        <v>21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2">
      <c r="A53">
        <v>966</v>
      </c>
      <c r="B53">
        <v>46</v>
      </c>
      <c r="C53" t="s">
        <v>21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2">
      <c r="A54">
        <v>965</v>
      </c>
      <c r="B54">
        <v>47</v>
      </c>
      <c r="C54" t="s">
        <v>21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x14ac:dyDescent="0.2">
      <c r="A55">
        <v>964</v>
      </c>
      <c r="B55">
        <v>48</v>
      </c>
      <c r="C55" t="s">
        <v>21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 x14ac:dyDescent="0.2">
      <c r="A56">
        <v>963</v>
      </c>
      <c r="B56">
        <v>49</v>
      </c>
      <c r="C56" t="s">
        <v>21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2">
      <c r="A57">
        <v>962</v>
      </c>
      <c r="B57">
        <v>50</v>
      </c>
      <c r="C57" t="s">
        <v>21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x14ac:dyDescent="0.2">
      <c r="A58">
        <v>961</v>
      </c>
      <c r="B58">
        <v>51</v>
      </c>
      <c r="C58" t="s">
        <v>21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x14ac:dyDescent="0.2">
      <c r="A59">
        <v>960</v>
      </c>
      <c r="B59">
        <v>52</v>
      </c>
      <c r="C59" t="s">
        <v>21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2">
      <c r="A60">
        <v>959</v>
      </c>
      <c r="B60">
        <v>53</v>
      </c>
      <c r="C60" t="s">
        <v>21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x14ac:dyDescent="0.2">
      <c r="A61">
        <v>958</v>
      </c>
      <c r="B61">
        <v>54</v>
      </c>
      <c r="C61" t="s">
        <v>21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x14ac:dyDescent="0.2">
      <c r="A62">
        <v>957</v>
      </c>
      <c r="B62">
        <v>55</v>
      </c>
      <c r="C62" t="s">
        <v>21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46" x14ac:dyDescent="0.2">
      <c r="A63">
        <v>956</v>
      </c>
      <c r="B63">
        <v>56</v>
      </c>
      <c r="C63" t="s">
        <v>21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 x14ac:dyDescent="0.2">
      <c r="A64">
        <v>955</v>
      </c>
      <c r="B64">
        <v>57</v>
      </c>
      <c r="C64" t="s">
        <v>21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2">
      <c r="A65">
        <v>954</v>
      </c>
      <c r="B65">
        <v>58</v>
      </c>
      <c r="C65" t="s">
        <v>21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2">
      <c r="A66">
        <v>953</v>
      </c>
      <c r="B66">
        <v>59</v>
      </c>
      <c r="C66" t="s">
        <v>21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x14ac:dyDescent="0.2">
      <c r="A67">
        <v>952</v>
      </c>
      <c r="B67">
        <v>60</v>
      </c>
      <c r="C67" t="s">
        <v>21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x14ac:dyDescent="0.2">
      <c r="A68">
        <v>951</v>
      </c>
      <c r="B68">
        <v>61</v>
      </c>
      <c r="C68" t="s">
        <v>21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 x14ac:dyDescent="0.2">
      <c r="A69">
        <v>950</v>
      </c>
      <c r="B69">
        <v>62</v>
      </c>
      <c r="C69" t="s">
        <v>21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2">
      <c r="A70">
        <v>949</v>
      </c>
      <c r="B70">
        <v>63</v>
      </c>
      <c r="C70" t="s">
        <v>21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2">
      <c r="A71">
        <v>948</v>
      </c>
      <c r="B71">
        <v>64</v>
      </c>
      <c r="C71" t="s">
        <v>21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2">
      <c r="A72">
        <v>947</v>
      </c>
      <c r="B72">
        <v>65</v>
      </c>
      <c r="C72" t="s">
        <v>21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2">
      <c r="A73">
        <v>946</v>
      </c>
      <c r="B73">
        <v>66</v>
      </c>
      <c r="C73" t="s">
        <v>21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2">
      <c r="A74">
        <v>945</v>
      </c>
      <c r="B74">
        <v>67</v>
      </c>
      <c r="C74" t="s">
        <v>21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x14ac:dyDescent="0.2">
      <c r="A75">
        <v>944</v>
      </c>
      <c r="B75">
        <v>68</v>
      </c>
      <c r="C75" t="s">
        <v>21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2">
      <c r="A76">
        <v>943</v>
      </c>
      <c r="B76">
        <v>69</v>
      </c>
      <c r="C76" t="s">
        <v>21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46" x14ac:dyDescent="0.2">
      <c r="A77">
        <v>942</v>
      </c>
      <c r="B77">
        <v>70</v>
      </c>
      <c r="C77" t="s">
        <v>21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 x14ac:dyDescent="0.2">
      <c r="A78">
        <v>941</v>
      </c>
      <c r="B78">
        <v>71</v>
      </c>
      <c r="C78" t="s">
        <v>21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2">
      <c r="A79">
        <v>940</v>
      </c>
      <c r="B79">
        <v>72</v>
      </c>
      <c r="C79" t="s">
        <v>21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2">
      <c r="A80">
        <v>939</v>
      </c>
      <c r="B80">
        <v>73</v>
      </c>
      <c r="C80" t="s">
        <v>21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2">
      <c r="A81">
        <v>938</v>
      </c>
      <c r="B81">
        <v>74</v>
      </c>
      <c r="C81" t="s">
        <v>21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2">
      <c r="A82">
        <v>937</v>
      </c>
      <c r="B82">
        <v>75</v>
      </c>
      <c r="C82" t="s">
        <v>21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2">
      <c r="A83">
        <v>936</v>
      </c>
      <c r="B83">
        <v>76</v>
      </c>
      <c r="C83" t="s">
        <v>21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 x14ac:dyDescent="0.2">
      <c r="A84">
        <v>935</v>
      </c>
      <c r="B84">
        <v>77</v>
      </c>
      <c r="C84" t="s">
        <v>21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2">
      <c r="A85">
        <v>934</v>
      </c>
      <c r="B85">
        <v>78</v>
      </c>
      <c r="C85" t="s">
        <v>21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x14ac:dyDescent="0.2">
      <c r="A86">
        <v>933</v>
      </c>
      <c r="B86">
        <v>79</v>
      </c>
      <c r="C86" t="s">
        <v>21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2">
      <c r="A87">
        <v>932</v>
      </c>
      <c r="B87">
        <v>80</v>
      </c>
      <c r="C87" t="s">
        <v>21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 x14ac:dyDescent="0.2">
      <c r="A88">
        <v>931</v>
      </c>
      <c r="B88">
        <v>81</v>
      </c>
      <c r="C88" t="s">
        <v>21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2">
      <c r="A89">
        <v>930</v>
      </c>
      <c r="B89">
        <v>82</v>
      </c>
      <c r="C89" t="s">
        <v>21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46" x14ac:dyDescent="0.2">
      <c r="A90">
        <v>929</v>
      </c>
      <c r="B90">
        <v>83</v>
      </c>
      <c r="C90" t="s">
        <v>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2">
      <c r="A91">
        <v>928</v>
      </c>
      <c r="B91">
        <v>84</v>
      </c>
      <c r="C91" t="s">
        <v>21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 x14ac:dyDescent="0.2">
      <c r="A92">
        <v>927</v>
      </c>
      <c r="B92">
        <v>85</v>
      </c>
      <c r="C92" t="s">
        <v>21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2">
      <c r="A93">
        <v>926</v>
      </c>
      <c r="B93">
        <v>86</v>
      </c>
      <c r="C93" t="s">
        <v>21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46" x14ac:dyDescent="0.2">
      <c r="A94">
        <v>925</v>
      </c>
      <c r="B94">
        <v>87</v>
      </c>
      <c r="C94" t="s">
        <v>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2">
      <c r="A95">
        <v>924</v>
      </c>
      <c r="B95">
        <v>88</v>
      </c>
      <c r="C95" t="s">
        <v>21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2">
      <c r="A96">
        <v>923</v>
      </c>
      <c r="B96">
        <v>89</v>
      </c>
      <c r="C96" t="s">
        <v>21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2">
      <c r="A97">
        <v>922</v>
      </c>
      <c r="B97">
        <v>90</v>
      </c>
      <c r="C97" t="s">
        <v>21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2">
      <c r="A98">
        <v>921</v>
      </c>
      <c r="B98">
        <v>91</v>
      </c>
      <c r="C98" t="s">
        <v>21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2">
      <c r="A99">
        <v>920</v>
      </c>
      <c r="B99">
        <v>92</v>
      </c>
      <c r="C99" t="s">
        <v>21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2">
      <c r="A100">
        <v>919</v>
      </c>
      <c r="B100">
        <v>93</v>
      </c>
      <c r="C100" t="s">
        <v>21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2">
      <c r="A101">
        <v>918</v>
      </c>
      <c r="B101">
        <v>94</v>
      </c>
      <c r="C101" t="s">
        <v>21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2">
      <c r="A102">
        <v>917</v>
      </c>
      <c r="B102">
        <v>95</v>
      </c>
      <c r="C102" t="s">
        <v>21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2">
      <c r="A103">
        <v>916</v>
      </c>
      <c r="B103">
        <v>96</v>
      </c>
      <c r="C103" t="s">
        <v>21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">
      <c r="A104">
        <v>915</v>
      </c>
      <c r="B104">
        <v>97</v>
      </c>
      <c r="C104" t="s">
        <v>21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2">
      <c r="A105">
        <v>914</v>
      </c>
      <c r="B105">
        <v>98</v>
      </c>
      <c r="C105" t="s">
        <v>21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2">
      <c r="A106">
        <v>913</v>
      </c>
      <c r="B106">
        <v>99</v>
      </c>
      <c r="C106" t="s">
        <v>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2">
      <c r="A107">
        <v>912</v>
      </c>
      <c r="B107">
        <v>100</v>
      </c>
      <c r="C107" t="s">
        <v>21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2">
      <c r="A108">
        <v>911</v>
      </c>
      <c r="B108">
        <v>101</v>
      </c>
      <c r="C108" t="s">
        <v>21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2">
      <c r="A109">
        <v>910</v>
      </c>
      <c r="B109">
        <v>102</v>
      </c>
      <c r="C109" t="s">
        <v>21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2">
      <c r="A110">
        <v>909</v>
      </c>
      <c r="B110">
        <v>103</v>
      </c>
      <c r="C110" t="s">
        <v>21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2">
      <c r="A111">
        <v>908</v>
      </c>
      <c r="B111">
        <v>104</v>
      </c>
      <c r="C111" t="s">
        <v>21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2">
      <c r="A112">
        <v>907</v>
      </c>
      <c r="B112">
        <v>105</v>
      </c>
      <c r="C112" t="s">
        <v>21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2">
      <c r="A113">
        <v>906</v>
      </c>
      <c r="B113">
        <v>106</v>
      </c>
      <c r="C113" t="s">
        <v>21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2">
      <c r="A114">
        <v>905</v>
      </c>
      <c r="B114">
        <v>107</v>
      </c>
      <c r="C114" t="s">
        <v>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2">
      <c r="A115">
        <v>904</v>
      </c>
      <c r="B115">
        <v>108</v>
      </c>
      <c r="C115" t="s">
        <v>21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2">
      <c r="A116">
        <v>903</v>
      </c>
      <c r="B116">
        <v>109</v>
      </c>
      <c r="C116" t="s">
        <v>21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2">
      <c r="A117">
        <v>902</v>
      </c>
      <c r="B117">
        <v>110</v>
      </c>
      <c r="C117" t="s">
        <v>21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2">
      <c r="A118">
        <v>901</v>
      </c>
      <c r="B118">
        <v>111</v>
      </c>
      <c r="C118" t="s">
        <v>21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2">
      <c r="A119">
        <v>900</v>
      </c>
      <c r="B119">
        <v>112</v>
      </c>
      <c r="C119" t="s">
        <v>21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2">
      <c r="A120">
        <v>899</v>
      </c>
      <c r="B120">
        <v>113</v>
      </c>
      <c r="C120" t="s">
        <v>21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2">
      <c r="A121">
        <v>898</v>
      </c>
      <c r="B121">
        <v>114</v>
      </c>
      <c r="C121" t="s">
        <v>21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2">
      <c r="A122">
        <v>897</v>
      </c>
      <c r="B122">
        <v>115</v>
      </c>
      <c r="C122" t="s">
        <v>21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2">
      <c r="A123">
        <v>896</v>
      </c>
      <c r="B123">
        <v>116</v>
      </c>
      <c r="C123" t="s">
        <v>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2">
      <c r="A124">
        <v>895</v>
      </c>
      <c r="B124">
        <v>117</v>
      </c>
      <c r="C124" t="s">
        <v>21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2">
      <c r="A125">
        <v>894</v>
      </c>
      <c r="B125">
        <v>118</v>
      </c>
      <c r="C125" t="s">
        <v>21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2">
      <c r="A126">
        <v>893</v>
      </c>
      <c r="B126">
        <v>119</v>
      </c>
      <c r="C126" t="s">
        <v>21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2">
      <c r="A127">
        <v>892</v>
      </c>
      <c r="B127">
        <v>120</v>
      </c>
      <c r="C127" t="s">
        <v>21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2">
      <c r="A128">
        <v>891</v>
      </c>
      <c r="B128">
        <v>121</v>
      </c>
      <c r="C128" t="s">
        <v>21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2">
      <c r="A129">
        <v>890</v>
      </c>
      <c r="B129">
        <v>122</v>
      </c>
      <c r="C129" t="s">
        <v>21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2">
      <c r="A130">
        <v>889</v>
      </c>
      <c r="B130">
        <v>123</v>
      </c>
      <c r="C130" t="s">
        <v>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2">
      <c r="A131">
        <v>888</v>
      </c>
      <c r="B131">
        <v>124</v>
      </c>
      <c r="C131" t="s">
        <v>21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2">
      <c r="A132">
        <v>887</v>
      </c>
      <c r="B132">
        <v>125</v>
      </c>
      <c r="C132" t="s">
        <v>21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2">
      <c r="A133">
        <v>886</v>
      </c>
      <c r="B133">
        <v>126</v>
      </c>
      <c r="C133" t="s">
        <v>21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2">
      <c r="A134">
        <v>885</v>
      </c>
      <c r="B134">
        <v>127</v>
      </c>
      <c r="C134" t="s">
        <v>21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2">
      <c r="A135">
        <v>884</v>
      </c>
      <c r="B135">
        <v>128</v>
      </c>
      <c r="C135" t="s">
        <v>21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2">
      <c r="A136">
        <v>883</v>
      </c>
      <c r="B136">
        <v>129</v>
      </c>
      <c r="C136" t="s">
        <v>21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2">
      <c r="A137">
        <v>882</v>
      </c>
      <c r="B137">
        <v>130</v>
      </c>
      <c r="C137" t="s">
        <v>21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2">
      <c r="A138">
        <v>881</v>
      </c>
      <c r="B138">
        <v>131</v>
      </c>
      <c r="C138" t="s">
        <v>21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2">
      <c r="A139">
        <v>880</v>
      </c>
      <c r="B139">
        <v>132</v>
      </c>
      <c r="C139" t="s">
        <v>21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2">
      <c r="A140">
        <v>879</v>
      </c>
      <c r="B140">
        <v>133</v>
      </c>
      <c r="C140" t="s">
        <v>21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2">
      <c r="A141">
        <v>878</v>
      </c>
      <c r="B141">
        <v>134</v>
      </c>
      <c r="C141" t="s">
        <v>21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2">
      <c r="A142">
        <v>877</v>
      </c>
      <c r="B142">
        <v>135</v>
      </c>
      <c r="C142" t="s">
        <v>21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2">
      <c r="A143">
        <v>876</v>
      </c>
      <c r="B143">
        <v>136</v>
      </c>
      <c r="C143" t="s">
        <v>21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2">
      <c r="A144">
        <v>875</v>
      </c>
      <c r="B144">
        <v>137</v>
      </c>
      <c r="C144" t="s">
        <v>21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2">
      <c r="A145">
        <v>874</v>
      </c>
      <c r="B145">
        <v>138</v>
      </c>
      <c r="C145" t="s">
        <v>21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2">
      <c r="A146">
        <v>873</v>
      </c>
      <c r="B146">
        <v>139</v>
      </c>
      <c r="C146" t="s">
        <v>21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2">
      <c r="A147">
        <v>872</v>
      </c>
      <c r="B147">
        <v>140</v>
      </c>
      <c r="C147" t="s">
        <v>21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2">
      <c r="A148">
        <v>871</v>
      </c>
      <c r="B148">
        <v>141</v>
      </c>
      <c r="C148" t="s">
        <v>21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2">
      <c r="A149">
        <v>870</v>
      </c>
      <c r="B149">
        <v>142</v>
      </c>
      <c r="C149" t="s">
        <v>21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2">
      <c r="A150">
        <v>869</v>
      </c>
      <c r="B150">
        <v>143</v>
      </c>
      <c r="C150" t="s">
        <v>21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2">
      <c r="A151">
        <v>868</v>
      </c>
      <c r="B151">
        <v>144</v>
      </c>
      <c r="C151" t="s">
        <v>21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2">
      <c r="A152">
        <v>867</v>
      </c>
      <c r="B152">
        <v>145</v>
      </c>
      <c r="C152" t="s">
        <v>21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2">
      <c r="A153">
        <v>866</v>
      </c>
      <c r="B153">
        <v>146</v>
      </c>
      <c r="C153" t="s">
        <v>21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2">
      <c r="A154">
        <v>865</v>
      </c>
      <c r="B154">
        <v>147</v>
      </c>
      <c r="C154" t="s">
        <v>21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2">
      <c r="A155">
        <v>864</v>
      </c>
      <c r="B155">
        <v>148</v>
      </c>
      <c r="C155" t="s">
        <v>21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2">
      <c r="A156">
        <v>863</v>
      </c>
      <c r="B156">
        <v>149</v>
      </c>
      <c r="C156" t="s">
        <v>21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2">
      <c r="A157">
        <v>862</v>
      </c>
      <c r="B157">
        <v>150</v>
      </c>
      <c r="C157" t="s">
        <v>21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2">
      <c r="A158">
        <v>861</v>
      </c>
      <c r="B158">
        <v>151</v>
      </c>
      <c r="C158" t="s">
        <v>21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2">
      <c r="A159">
        <v>860</v>
      </c>
      <c r="B159">
        <v>152</v>
      </c>
      <c r="C159" t="s">
        <v>21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2">
      <c r="A160">
        <v>859</v>
      </c>
      <c r="B160">
        <v>153</v>
      </c>
      <c r="C160" t="s">
        <v>21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2">
      <c r="A161">
        <v>858</v>
      </c>
      <c r="B161">
        <v>154</v>
      </c>
      <c r="C161" t="s">
        <v>21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2">
      <c r="A162">
        <v>857</v>
      </c>
      <c r="B162">
        <v>155</v>
      </c>
      <c r="C162" t="s">
        <v>21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2">
      <c r="A163">
        <v>856</v>
      </c>
      <c r="B163">
        <v>156</v>
      </c>
      <c r="C163" t="s">
        <v>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2">
      <c r="A164">
        <v>855</v>
      </c>
      <c r="B164">
        <v>157</v>
      </c>
      <c r="C164" t="s">
        <v>21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2">
      <c r="A165">
        <v>854</v>
      </c>
      <c r="B165">
        <v>158</v>
      </c>
      <c r="C165" t="s">
        <v>21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2">
      <c r="A166">
        <v>853</v>
      </c>
      <c r="B166">
        <v>159</v>
      </c>
      <c r="C166" t="s">
        <v>21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2">
      <c r="A167">
        <v>852</v>
      </c>
      <c r="B167">
        <v>160</v>
      </c>
      <c r="C167" t="s">
        <v>21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2">
      <c r="A168">
        <v>851</v>
      </c>
      <c r="B168">
        <v>161</v>
      </c>
      <c r="C168" t="s">
        <v>21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2">
      <c r="A169">
        <v>850</v>
      </c>
      <c r="B169">
        <v>162</v>
      </c>
      <c r="C169" t="s">
        <v>21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2">
      <c r="A170">
        <v>849</v>
      </c>
      <c r="B170">
        <v>163</v>
      </c>
      <c r="C170" t="s">
        <v>21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2">
      <c r="A171">
        <v>848</v>
      </c>
      <c r="B171">
        <v>164</v>
      </c>
      <c r="C171" t="s">
        <v>21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2">
      <c r="A172">
        <v>847</v>
      </c>
      <c r="B172">
        <v>165</v>
      </c>
      <c r="C172" t="s">
        <v>21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2">
      <c r="A173">
        <v>846</v>
      </c>
      <c r="B173">
        <v>166</v>
      </c>
      <c r="C173" t="s">
        <v>21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2">
      <c r="A174">
        <v>845</v>
      </c>
      <c r="B174">
        <v>167</v>
      </c>
      <c r="C174" t="s">
        <v>21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2">
      <c r="A175">
        <v>844</v>
      </c>
      <c r="B175">
        <v>168</v>
      </c>
      <c r="C175" t="s">
        <v>21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2">
      <c r="A176">
        <v>843</v>
      </c>
      <c r="B176">
        <v>169</v>
      </c>
      <c r="C176" t="s">
        <v>21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2">
      <c r="A177">
        <v>842</v>
      </c>
      <c r="B177">
        <v>170</v>
      </c>
      <c r="C177" t="s">
        <v>21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2">
      <c r="A178">
        <v>841</v>
      </c>
      <c r="B178">
        <v>171</v>
      </c>
      <c r="C178" t="s">
        <v>21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2">
      <c r="A179">
        <v>840</v>
      </c>
      <c r="B179">
        <v>172</v>
      </c>
      <c r="C179" t="s">
        <v>21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2">
      <c r="A180">
        <v>839</v>
      </c>
      <c r="B180">
        <v>173</v>
      </c>
      <c r="C180" t="s">
        <v>21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2">
      <c r="A181">
        <v>838</v>
      </c>
      <c r="B181">
        <v>174</v>
      </c>
      <c r="C181" t="s">
        <v>21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2">
      <c r="A182">
        <v>837</v>
      </c>
      <c r="B182">
        <v>175</v>
      </c>
      <c r="C182" t="s">
        <v>21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2">
      <c r="A183">
        <v>836</v>
      </c>
      <c r="B183">
        <v>176</v>
      </c>
      <c r="C183" t="s">
        <v>21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2">
      <c r="A184">
        <v>835</v>
      </c>
      <c r="B184">
        <v>177</v>
      </c>
      <c r="C184" t="s">
        <v>21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2">
      <c r="A185">
        <v>834</v>
      </c>
      <c r="B185">
        <v>178</v>
      </c>
      <c r="C185" t="s">
        <v>21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x14ac:dyDescent="0.2">
      <c r="A186">
        <v>833</v>
      </c>
      <c r="B186">
        <v>179</v>
      </c>
      <c r="C186" t="s">
        <v>21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2">
      <c r="A187">
        <v>832</v>
      </c>
      <c r="B187">
        <v>180</v>
      </c>
      <c r="C187" t="s">
        <v>21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2">
      <c r="A188">
        <v>831</v>
      </c>
      <c r="B188">
        <v>181</v>
      </c>
      <c r="C188" t="s">
        <v>21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2">
      <c r="A189">
        <v>830</v>
      </c>
      <c r="B189">
        <v>182</v>
      </c>
      <c r="C189" t="s">
        <v>21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2">
      <c r="A190">
        <v>829</v>
      </c>
      <c r="B190">
        <v>183</v>
      </c>
      <c r="C190" t="s">
        <v>21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2">
      <c r="A191">
        <v>828</v>
      </c>
      <c r="B191">
        <v>184</v>
      </c>
      <c r="C191" t="s">
        <v>21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46" x14ac:dyDescent="0.2">
      <c r="A192">
        <v>827</v>
      </c>
      <c r="B192">
        <v>185</v>
      </c>
      <c r="C192" t="s">
        <v>21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2">
      <c r="A193">
        <v>826</v>
      </c>
      <c r="B193">
        <v>186</v>
      </c>
      <c r="C193" t="s">
        <v>21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2">
      <c r="A194">
        <v>825</v>
      </c>
      <c r="B194">
        <v>187</v>
      </c>
      <c r="C194" t="s">
        <v>21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2">
      <c r="A195">
        <v>824</v>
      </c>
      <c r="B195">
        <v>188</v>
      </c>
      <c r="C195" t="s">
        <v>21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2">
      <c r="A196">
        <v>823</v>
      </c>
      <c r="B196">
        <v>189</v>
      </c>
      <c r="C196" t="s">
        <v>21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2">
      <c r="A197">
        <v>822</v>
      </c>
      <c r="B197">
        <v>190</v>
      </c>
      <c r="C197" t="s">
        <v>21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2">
      <c r="A198">
        <v>821</v>
      </c>
      <c r="B198">
        <v>191</v>
      </c>
      <c r="C198" t="s">
        <v>21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2">
      <c r="A199">
        <v>820</v>
      </c>
      <c r="B199">
        <v>192</v>
      </c>
      <c r="C199" t="s">
        <v>21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2">
      <c r="A200">
        <v>819</v>
      </c>
      <c r="B200">
        <v>193</v>
      </c>
      <c r="C200" t="s">
        <v>21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2">
      <c r="A201">
        <v>818</v>
      </c>
      <c r="B201">
        <v>194</v>
      </c>
      <c r="C201" t="s">
        <v>21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2">
      <c r="A202">
        <v>817</v>
      </c>
      <c r="B202">
        <v>195</v>
      </c>
      <c r="C202" t="s">
        <v>21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2">
      <c r="A203">
        <v>816</v>
      </c>
      <c r="B203">
        <v>196</v>
      </c>
      <c r="C203" t="s">
        <v>21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2">
      <c r="A204">
        <v>815</v>
      </c>
      <c r="B204">
        <v>197</v>
      </c>
      <c r="C204" t="s">
        <v>21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2">
      <c r="A205">
        <v>814</v>
      </c>
      <c r="B205">
        <v>198</v>
      </c>
      <c r="C205" t="s">
        <v>21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2">
      <c r="A206">
        <v>813</v>
      </c>
      <c r="B206">
        <v>199</v>
      </c>
      <c r="C206" t="s">
        <v>21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2">
      <c r="A207">
        <v>812</v>
      </c>
      <c r="B207">
        <v>200</v>
      </c>
      <c r="C207" t="s">
        <v>21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2">
      <c r="A208">
        <v>811</v>
      </c>
      <c r="B208">
        <v>201</v>
      </c>
      <c r="C208" t="s">
        <v>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2">
      <c r="A209">
        <v>810</v>
      </c>
      <c r="B209">
        <v>202</v>
      </c>
      <c r="C209" t="s">
        <v>21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2">
      <c r="A210">
        <v>809</v>
      </c>
      <c r="B210">
        <v>203</v>
      </c>
      <c r="C210" t="s">
        <v>21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2">
      <c r="A211">
        <v>808</v>
      </c>
      <c r="B211">
        <v>204</v>
      </c>
      <c r="C211" t="s">
        <v>21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2">
      <c r="A212">
        <v>807</v>
      </c>
      <c r="B212">
        <v>205</v>
      </c>
      <c r="C212" t="s">
        <v>21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2">
      <c r="A213">
        <v>806</v>
      </c>
      <c r="B213">
        <v>206</v>
      </c>
      <c r="C213" t="s">
        <v>21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2">
      <c r="A214">
        <v>805</v>
      </c>
      <c r="B214">
        <v>207</v>
      </c>
      <c r="C214" t="s">
        <v>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2">
      <c r="A215">
        <v>804</v>
      </c>
      <c r="B215">
        <v>208</v>
      </c>
      <c r="C215" t="s">
        <v>21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2">
      <c r="A216">
        <v>803</v>
      </c>
      <c r="B216">
        <v>209</v>
      </c>
      <c r="C216" t="s">
        <v>21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2">
      <c r="A217">
        <v>802</v>
      </c>
      <c r="B217">
        <v>210</v>
      </c>
      <c r="C217" t="s">
        <v>21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2">
      <c r="A218">
        <v>801</v>
      </c>
      <c r="B218">
        <v>211</v>
      </c>
      <c r="C218" t="s">
        <v>21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2">
      <c r="A219">
        <v>800</v>
      </c>
      <c r="B219">
        <v>212</v>
      </c>
      <c r="C219" t="s">
        <v>21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2">
      <c r="A220">
        <v>799</v>
      </c>
      <c r="B220">
        <v>213</v>
      </c>
      <c r="C220" t="s">
        <v>21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2">
      <c r="A221">
        <v>798</v>
      </c>
      <c r="B221">
        <v>214</v>
      </c>
      <c r="C221" t="s">
        <v>21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2">
      <c r="A222">
        <v>797</v>
      </c>
      <c r="B222">
        <v>215</v>
      </c>
      <c r="C222" t="s">
        <v>21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2">
      <c r="A223">
        <v>796</v>
      </c>
      <c r="B223">
        <v>216</v>
      </c>
      <c r="C223" t="s">
        <v>21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2">
      <c r="A224">
        <v>795</v>
      </c>
      <c r="B224">
        <v>217</v>
      </c>
      <c r="C224" t="s">
        <v>21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2">
      <c r="A225">
        <v>794</v>
      </c>
      <c r="B225">
        <v>218</v>
      </c>
      <c r="C225" t="s">
        <v>21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2">
      <c r="A226">
        <v>793</v>
      </c>
      <c r="B226">
        <v>219</v>
      </c>
      <c r="C226" t="s">
        <v>21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2">
      <c r="A227">
        <v>792</v>
      </c>
      <c r="B227">
        <v>220</v>
      </c>
      <c r="C227" t="s">
        <v>21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2">
      <c r="A228">
        <v>791</v>
      </c>
      <c r="B228">
        <v>221</v>
      </c>
      <c r="C228" t="s">
        <v>21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2">
      <c r="A229">
        <v>790</v>
      </c>
      <c r="B229">
        <v>222</v>
      </c>
      <c r="C229" t="s">
        <v>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2">
      <c r="A230">
        <v>789</v>
      </c>
      <c r="B230">
        <v>223</v>
      </c>
      <c r="C230" t="s">
        <v>21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2">
      <c r="A231">
        <v>788</v>
      </c>
      <c r="B231">
        <v>224</v>
      </c>
      <c r="C231" t="s">
        <v>21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2">
      <c r="A232">
        <v>787</v>
      </c>
      <c r="B232">
        <v>225</v>
      </c>
      <c r="C232" t="s">
        <v>21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2">
      <c r="A233">
        <v>786</v>
      </c>
      <c r="B233">
        <v>226</v>
      </c>
      <c r="C233" t="s">
        <v>21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2">
      <c r="A234">
        <v>785</v>
      </c>
      <c r="B234">
        <v>227</v>
      </c>
      <c r="C234" t="s">
        <v>21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2">
      <c r="A235">
        <v>784</v>
      </c>
      <c r="B235">
        <v>228</v>
      </c>
      <c r="C235" t="s">
        <v>21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2">
      <c r="A236">
        <v>783</v>
      </c>
      <c r="B236">
        <v>229</v>
      </c>
      <c r="C236" t="s">
        <v>21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2">
      <c r="A237">
        <v>782</v>
      </c>
      <c r="B237">
        <v>230</v>
      </c>
      <c r="C237" t="s">
        <v>21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2">
      <c r="A238">
        <v>781</v>
      </c>
      <c r="B238">
        <v>231</v>
      </c>
      <c r="C238" t="s">
        <v>21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2">
      <c r="A239">
        <v>780</v>
      </c>
      <c r="B239">
        <v>232</v>
      </c>
      <c r="C239" t="s">
        <v>21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2">
      <c r="A240">
        <v>779</v>
      </c>
      <c r="B240">
        <v>233</v>
      </c>
      <c r="C240" t="s">
        <v>21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 x14ac:dyDescent="0.2">
      <c r="A241">
        <v>778</v>
      </c>
      <c r="B241">
        <v>234</v>
      </c>
      <c r="C241" t="s">
        <v>21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46" x14ac:dyDescent="0.2">
      <c r="A242">
        <v>777</v>
      </c>
      <c r="B242">
        <v>235</v>
      </c>
      <c r="C242" t="s">
        <v>21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46" x14ac:dyDescent="0.2">
      <c r="A243">
        <v>776</v>
      </c>
      <c r="B243">
        <v>236</v>
      </c>
      <c r="C243" t="s">
        <v>21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46" x14ac:dyDescent="0.2">
      <c r="A244">
        <v>775</v>
      </c>
      <c r="B244">
        <v>237</v>
      </c>
      <c r="C244" t="s">
        <v>21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46" x14ac:dyDescent="0.2">
      <c r="A245">
        <v>774</v>
      </c>
      <c r="B245">
        <v>238</v>
      </c>
      <c r="C245" t="s">
        <v>21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46" x14ac:dyDescent="0.2">
      <c r="A246">
        <v>773</v>
      </c>
      <c r="B246">
        <v>239</v>
      </c>
      <c r="C246" t="s">
        <v>21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 x14ac:dyDescent="0.2">
      <c r="A247">
        <v>772</v>
      </c>
      <c r="B247">
        <v>240</v>
      </c>
      <c r="C247" t="s">
        <v>21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 x14ac:dyDescent="0.2">
      <c r="A248">
        <v>771</v>
      </c>
      <c r="B248">
        <v>241</v>
      </c>
      <c r="C248" t="s">
        <v>21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 x14ac:dyDescent="0.2">
      <c r="A249">
        <v>770</v>
      </c>
      <c r="B249">
        <v>242</v>
      </c>
      <c r="C249" t="s">
        <v>21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46" x14ac:dyDescent="0.2">
      <c r="A250">
        <v>769</v>
      </c>
      <c r="B250">
        <v>243</v>
      </c>
      <c r="C250" t="s">
        <v>21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x14ac:dyDescent="0.2">
      <c r="A251">
        <v>768</v>
      </c>
      <c r="B251">
        <v>244</v>
      </c>
      <c r="C251" t="s">
        <v>21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46" x14ac:dyDescent="0.2">
      <c r="A252">
        <v>767</v>
      </c>
      <c r="B252">
        <v>245</v>
      </c>
      <c r="C252" t="s">
        <v>21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2">
      <c r="A253">
        <v>766</v>
      </c>
      <c r="B253">
        <v>246</v>
      </c>
      <c r="C253" t="s">
        <v>21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 x14ac:dyDescent="0.2">
      <c r="A254">
        <v>765</v>
      </c>
      <c r="B254">
        <v>247</v>
      </c>
      <c r="C254" t="s">
        <v>21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46" x14ac:dyDescent="0.2">
      <c r="A255">
        <v>764</v>
      </c>
      <c r="B255">
        <v>248</v>
      </c>
      <c r="C255" t="s">
        <v>21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46" x14ac:dyDescent="0.2">
      <c r="A256">
        <v>763</v>
      </c>
      <c r="B256">
        <v>249</v>
      </c>
      <c r="C256" t="s">
        <v>21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2">
      <c r="A257">
        <v>762</v>
      </c>
      <c r="B257">
        <v>250</v>
      </c>
      <c r="C257" t="s">
        <v>21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2">
      <c r="A258">
        <v>761</v>
      </c>
      <c r="B258">
        <v>251</v>
      </c>
      <c r="C258" t="s">
        <v>21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2">
      <c r="A259">
        <v>760</v>
      </c>
      <c r="B259">
        <v>252</v>
      </c>
      <c r="C259" t="s">
        <v>21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2">
      <c r="A260">
        <v>759</v>
      </c>
      <c r="B260">
        <v>253</v>
      </c>
      <c r="C260" t="s">
        <v>21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2">
      <c r="A261">
        <v>758</v>
      </c>
      <c r="B261">
        <v>254</v>
      </c>
      <c r="C261" t="s">
        <v>21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2">
      <c r="A262">
        <v>757</v>
      </c>
      <c r="B262">
        <v>255</v>
      </c>
      <c r="C262" t="s">
        <v>21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x14ac:dyDescent="0.2">
      <c r="A263">
        <v>756</v>
      </c>
      <c r="B263">
        <v>256</v>
      </c>
      <c r="C263" t="s">
        <v>21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2">
      <c r="A264">
        <v>755</v>
      </c>
      <c r="B264">
        <v>257</v>
      </c>
      <c r="C264" t="s">
        <v>21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2">
      <c r="A265">
        <v>754</v>
      </c>
      <c r="B265">
        <v>258</v>
      </c>
      <c r="C265" t="s">
        <v>21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2">
      <c r="A266">
        <v>753</v>
      </c>
      <c r="B266">
        <v>259</v>
      </c>
      <c r="C266" t="s">
        <v>21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46" x14ac:dyDescent="0.2">
      <c r="A267">
        <v>752</v>
      </c>
      <c r="B267">
        <v>260</v>
      </c>
      <c r="C267" t="s">
        <v>21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 x14ac:dyDescent="0.2">
      <c r="A268">
        <v>751</v>
      </c>
      <c r="B268">
        <v>261</v>
      </c>
      <c r="C268" t="s">
        <v>21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 spans="1:46" x14ac:dyDescent="0.2">
      <c r="A269">
        <v>750</v>
      </c>
      <c r="B269">
        <v>262</v>
      </c>
      <c r="C269" t="s">
        <v>21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46" x14ac:dyDescent="0.2">
      <c r="A270">
        <v>749</v>
      </c>
      <c r="B270">
        <v>263</v>
      </c>
      <c r="C270" t="s">
        <v>21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46" x14ac:dyDescent="0.2">
      <c r="A271">
        <v>748</v>
      </c>
      <c r="B271">
        <v>264</v>
      </c>
      <c r="C271" t="s">
        <v>21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2">
      <c r="A272">
        <v>747</v>
      </c>
      <c r="B272">
        <v>265</v>
      </c>
      <c r="C272" t="s">
        <v>21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2">
      <c r="A273">
        <v>746</v>
      </c>
      <c r="B273">
        <v>266</v>
      </c>
      <c r="C273" t="s">
        <v>21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2">
      <c r="A274">
        <v>745</v>
      </c>
      <c r="B274">
        <v>267</v>
      </c>
      <c r="C274" t="s">
        <v>21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2">
      <c r="A275">
        <v>744</v>
      </c>
      <c r="B275">
        <v>268</v>
      </c>
      <c r="C275" t="s">
        <v>21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2">
      <c r="A276">
        <v>743</v>
      </c>
      <c r="B276">
        <v>269</v>
      </c>
      <c r="C276" t="s">
        <v>21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2">
      <c r="A277">
        <v>742</v>
      </c>
      <c r="B277">
        <v>270</v>
      </c>
      <c r="C277" t="s">
        <v>21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2">
      <c r="A278">
        <v>741</v>
      </c>
      <c r="B278">
        <v>271</v>
      </c>
      <c r="C278" t="s">
        <v>21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2">
      <c r="A279">
        <v>740</v>
      </c>
      <c r="B279">
        <v>272</v>
      </c>
      <c r="C279" t="s">
        <v>21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2">
      <c r="A280">
        <v>739</v>
      </c>
      <c r="B280">
        <v>273</v>
      </c>
      <c r="C280" t="s">
        <v>21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46" x14ac:dyDescent="0.2">
      <c r="A281">
        <v>738</v>
      </c>
      <c r="B281">
        <v>274</v>
      </c>
      <c r="C281" t="s">
        <v>21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2">
      <c r="A282">
        <v>737</v>
      </c>
      <c r="B282">
        <v>275</v>
      </c>
      <c r="C282" t="s">
        <v>21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x14ac:dyDescent="0.2">
      <c r="A283">
        <v>736</v>
      </c>
      <c r="B283">
        <v>276</v>
      </c>
      <c r="C283" t="s">
        <v>21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2">
      <c r="A284">
        <v>735</v>
      </c>
      <c r="B284">
        <v>277</v>
      </c>
      <c r="C284" t="s">
        <v>21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2">
      <c r="A285">
        <v>734</v>
      </c>
      <c r="B285">
        <v>278</v>
      </c>
      <c r="C285" t="s">
        <v>21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2">
      <c r="A286">
        <v>733</v>
      </c>
      <c r="B286">
        <v>279</v>
      </c>
      <c r="C286" t="s">
        <v>21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2">
      <c r="A287">
        <v>732</v>
      </c>
      <c r="B287">
        <v>280</v>
      </c>
      <c r="C287" t="s">
        <v>21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 x14ac:dyDescent="0.2">
      <c r="A288">
        <v>731</v>
      </c>
      <c r="B288">
        <v>281</v>
      </c>
      <c r="C288" t="s">
        <v>21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 x14ac:dyDescent="0.2">
      <c r="A289">
        <v>730</v>
      </c>
      <c r="B289">
        <v>282</v>
      </c>
      <c r="C289" t="s">
        <v>21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x14ac:dyDescent="0.2">
      <c r="A290">
        <v>729</v>
      </c>
      <c r="B290">
        <v>283</v>
      </c>
      <c r="C290" t="s">
        <v>21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2">
      <c r="A291">
        <v>728</v>
      </c>
      <c r="B291">
        <v>284</v>
      </c>
      <c r="C291" t="s">
        <v>21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2">
      <c r="A292">
        <v>727</v>
      </c>
      <c r="B292">
        <v>285</v>
      </c>
      <c r="C292" t="s">
        <v>21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2">
      <c r="A293">
        <v>726</v>
      </c>
      <c r="B293">
        <v>286</v>
      </c>
      <c r="C293" t="s">
        <v>21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2">
      <c r="A294">
        <v>725</v>
      </c>
      <c r="B294">
        <v>287</v>
      </c>
      <c r="C294" t="s">
        <v>21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2">
      <c r="A295">
        <v>724</v>
      </c>
      <c r="B295">
        <v>288</v>
      </c>
      <c r="C295" t="s">
        <v>21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2">
      <c r="A296">
        <v>723</v>
      </c>
      <c r="B296">
        <v>289</v>
      </c>
      <c r="C296" t="s">
        <v>21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x14ac:dyDescent="0.2">
      <c r="A297">
        <v>722</v>
      </c>
      <c r="B297">
        <v>290</v>
      </c>
      <c r="C297" t="s">
        <v>21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2">
      <c r="A298">
        <v>721</v>
      </c>
      <c r="B298">
        <v>291</v>
      </c>
      <c r="C298" t="s">
        <v>21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2">
      <c r="A299">
        <v>720</v>
      </c>
      <c r="B299">
        <v>292</v>
      </c>
      <c r="C299" t="s">
        <v>21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2">
      <c r="A300">
        <v>719</v>
      </c>
      <c r="B300">
        <v>293</v>
      </c>
      <c r="C300" t="s">
        <v>21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2">
      <c r="A301">
        <v>718</v>
      </c>
      <c r="B301">
        <v>294</v>
      </c>
      <c r="C301" t="s">
        <v>21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2">
      <c r="A302">
        <v>717</v>
      </c>
      <c r="B302">
        <v>295</v>
      </c>
      <c r="C302" t="s">
        <v>21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x14ac:dyDescent="0.2">
      <c r="A303">
        <v>716</v>
      </c>
      <c r="B303">
        <v>296</v>
      </c>
      <c r="C303" t="s">
        <v>21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2">
      <c r="A304">
        <v>715</v>
      </c>
      <c r="B304">
        <v>297</v>
      </c>
      <c r="C304" t="s">
        <v>21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2">
      <c r="A305">
        <v>714</v>
      </c>
      <c r="B305">
        <v>298</v>
      </c>
      <c r="C305" t="s">
        <v>21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2">
      <c r="A306">
        <v>713</v>
      </c>
      <c r="B306">
        <v>299</v>
      </c>
      <c r="C306" t="s">
        <v>21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2">
      <c r="A307">
        <v>712</v>
      </c>
      <c r="B307">
        <v>300</v>
      </c>
      <c r="C307" t="s">
        <v>21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2">
      <c r="A308">
        <v>711</v>
      </c>
      <c r="B308">
        <v>301</v>
      </c>
      <c r="C308" t="s">
        <v>21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2">
      <c r="A309">
        <v>710</v>
      </c>
      <c r="B309">
        <v>302</v>
      </c>
      <c r="C309" t="s">
        <v>21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2">
      <c r="A310">
        <v>709</v>
      </c>
      <c r="B310">
        <v>303</v>
      </c>
      <c r="C310" t="s">
        <v>21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x14ac:dyDescent="0.2">
      <c r="A311">
        <v>708</v>
      </c>
      <c r="B311">
        <v>304</v>
      </c>
      <c r="C311" t="s">
        <v>21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2">
      <c r="A312">
        <v>707</v>
      </c>
      <c r="B312">
        <v>305</v>
      </c>
      <c r="C312" t="s">
        <v>21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2">
      <c r="A313">
        <v>706</v>
      </c>
      <c r="B313">
        <v>306</v>
      </c>
      <c r="C313" t="s">
        <v>21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2">
      <c r="A314">
        <v>705</v>
      </c>
      <c r="B314">
        <v>307</v>
      </c>
      <c r="C314" t="s">
        <v>21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2">
      <c r="A315">
        <v>704</v>
      </c>
      <c r="B315">
        <v>308</v>
      </c>
      <c r="C315" t="s">
        <v>21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2">
      <c r="A316">
        <v>703</v>
      </c>
      <c r="B316">
        <v>309</v>
      </c>
      <c r="C316" t="s">
        <v>21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2">
      <c r="A317">
        <v>702</v>
      </c>
      <c r="B317">
        <v>310</v>
      </c>
      <c r="C317" t="s">
        <v>21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2">
      <c r="A318">
        <v>701</v>
      </c>
      <c r="B318">
        <v>311</v>
      </c>
      <c r="C318" t="s">
        <v>21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2">
      <c r="A319">
        <v>700</v>
      </c>
      <c r="B319">
        <v>312</v>
      </c>
      <c r="C319" t="s">
        <v>21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2">
      <c r="A320">
        <v>699</v>
      </c>
      <c r="B320">
        <v>313</v>
      </c>
      <c r="C320" t="s">
        <v>21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2">
      <c r="A321">
        <v>698</v>
      </c>
      <c r="B321">
        <v>314</v>
      </c>
      <c r="C321" t="s">
        <v>21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2">
      <c r="A322">
        <v>697</v>
      </c>
      <c r="B322">
        <v>315</v>
      </c>
      <c r="C322" t="s">
        <v>21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2">
      <c r="A323">
        <v>696</v>
      </c>
      <c r="B323">
        <v>316</v>
      </c>
      <c r="C323" t="s">
        <v>21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2">
      <c r="A324">
        <v>695</v>
      </c>
      <c r="B324">
        <v>317</v>
      </c>
      <c r="C324" t="s">
        <v>21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46" x14ac:dyDescent="0.2">
      <c r="A325">
        <v>694</v>
      </c>
      <c r="B325">
        <v>318</v>
      </c>
      <c r="C325" t="s">
        <v>21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2">
      <c r="A326">
        <v>693</v>
      </c>
      <c r="B326">
        <v>319</v>
      </c>
      <c r="C326" t="s">
        <v>21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x14ac:dyDescent="0.2">
      <c r="A327">
        <v>692</v>
      </c>
      <c r="B327">
        <v>320</v>
      </c>
      <c r="C327" t="s">
        <v>21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 x14ac:dyDescent="0.2">
      <c r="A328">
        <v>691</v>
      </c>
      <c r="B328">
        <v>321</v>
      </c>
      <c r="C328" t="s">
        <v>21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46" x14ac:dyDescent="0.2">
      <c r="A329">
        <v>690</v>
      </c>
      <c r="B329">
        <v>322</v>
      </c>
      <c r="C329" t="s">
        <v>21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46" x14ac:dyDescent="0.2">
      <c r="A330">
        <v>689</v>
      </c>
      <c r="B330">
        <v>323</v>
      </c>
      <c r="C330" t="s">
        <v>21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46" x14ac:dyDescent="0.2">
      <c r="A331">
        <v>688</v>
      </c>
      <c r="B331">
        <v>324</v>
      </c>
      <c r="C331" t="s">
        <v>21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46" x14ac:dyDescent="0.2">
      <c r="A332">
        <v>687</v>
      </c>
      <c r="B332">
        <v>325</v>
      </c>
      <c r="C332" t="s">
        <v>21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2">
      <c r="A333">
        <v>686</v>
      </c>
      <c r="B333">
        <v>326</v>
      </c>
      <c r="C333" t="s">
        <v>21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 x14ac:dyDescent="0.2">
      <c r="A334">
        <v>685</v>
      </c>
      <c r="B334">
        <v>327</v>
      </c>
      <c r="C334" t="s">
        <v>21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 x14ac:dyDescent="0.2">
      <c r="A335">
        <v>684</v>
      </c>
      <c r="B335">
        <v>328</v>
      </c>
      <c r="C335" t="s">
        <v>21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2">
      <c r="A336">
        <v>683</v>
      </c>
      <c r="B336">
        <v>329</v>
      </c>
      <c r="C336" t="s">
        <v>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46" x14ac:dyDescent="0.2">
      <c r="A337">
        <v>682</v>
      </c>
      <c r="B337">
        <v>330</v>
      </c>
      <c r="C337" t="s">
        <v>21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46" x14ac:dyDescent="0.2">
      <c r="A338">
        <v>681</v>
      </c>
      <c r="B338">
        <v>331</v>
      </c>
      <c r="C338" t="s">
        <v>21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 x14ac:dyDescent="0.2">
      <c r="A339">
        <v>680</v>
      </c>
      <c r="B339">
        <v>332</v>
      </c>
      <c r="C339" t="s">
        <v>21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46" x14ac:dyDescent="0.2">
      <c r="A340">
        <v>679</v>
      </c>
      <c r="B340">
        <v>333</v>
      </c>
      <c r="C340" t="s">
        <v>21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 x14ac:dyDescent="0.2">
      <c r="A341">
        <v>678</v>
      </c>
      <c r="B341">
        <v>334</v>
      </c>
      <c r="C341" t="s">
        <v>21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46" x14ac:dyDescent="0.2">
      <c r="A342">
        <v>677</v>
      </c>
      <c r="B342">
        <v>335</v>
      </c>
      <c r="C342" t="s">
        <v>21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 x14ac:dyDescent="0.2">
      <c r="A343">
        <v>676</v>
      </c>
      <c r="B343">
        <v>336</v>
      </c>
      <c r="C343" t="s">
        <v>21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</row>
    <row r="344" spans="1:46" x14ac:dyDescent="0.2">
      <c r="A344">
        <v>675</v>
      </c>
      <c r="B344">
        <v>337</v>
      </c>
      <c r="C344" t="s">
        <v>21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46" x14ac:dyDescent="0.2">
      <c r="A345">
        <v>674</v>
      </c>
      <c r="B345">
        <v>338</v>
      </c>
      <c r="C345" t="s">
        <v>21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2">
      <c r="A346">
        <v>673</v>
      </c>
      <c r="B346">
        <v>339</v>
      </c>
      <c r="C346" t="s">
        <v>21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46" x14ac:dyDescent="0.2">
      <c r="A347">
        <v>672</v>
      </c>
      <c r="B347">
        <v>340</v>
      </c>
      <c r="C347" t="s">
        <v>21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46" x14ac:dyDescent="0.2">
      <c r="A348">
        <v>671</v>
      </c>
      <c r="B348">
        <v>341</v>
      </c>
      <c r="C348" t="s">
        <v>21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46" x14ac:dyDescent="0.2">
      <c r="A349">
        <v>670</v>
      </c>
      <c r="B349">
        <v>342</v>
      </c>
      <c r="C349" t="s">
        <v>21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 x14ac:dyDescent="0.2">
      <c r="A350">
        <v>669</v>
      </c>
      <c r="B350">
        <v>343</v>
      </c>
      <c r="C350" t="s">
        <v>21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46" x14ac:dyDescent="0.2">
      <c r="A351">
        <v>668</v>
      </c>
      <c r="B351">
        <v>344</v>
      </c>
      <c r="C351" t="s">
        <v>21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2">
      <c r="A352">
        <v>667</v>
      </c>
      <c r="B352">
        <v>345</v>
      </c>
      <c r="C352" t="s">
        <v>21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x14ac:dyDescent="0.2">
      <c r="A353">
        <v>666</v>
      </c>
      <c r="B353">
        <v>346</v>
      </c>
      <c r="C353" t="s">
        <v>21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 x14ac:dyDescent="0.2">
      <c r="A354">
        <v>665</v>
      </c>
      <c r="B354">
        <v>347</v>
      </c>
      <c r="C354" t="s">
        <v>21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 x14ac:dyDescent="0.2">
      <c r="A355">
        <v>664</v>
      </c>
      <c r="B355">
        <v>348</v>
      </c>
      <c r="C355" t="s">
        <v>21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2">
      <c r="A356">
        <v>663</v>
      </c>
      <c r="B356">
        <v>349</v>
      </c>
      <c r="C356" t="s">
        <v>21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 x14ac:dyDescent="0.2">
      <c r="A357">
        <v>662</v>
      </c>
      <c r="B357">
        <v>350</v>
      </c>
      <c r="C357" t="s">
        <v>21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46" x14ac:dyDescent="0.2">
      <c r="A358">
        <v>661</v>
      </c>
      <c r="B358">
        <v>351</v>
      </c>
      <c r="C358" t="s">
        <v>21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46" x14ac:dyDescent="0.2">
      <c r="A359">
        <v>660</v>
      </c>
      <c r="B359">
        <v>352</v>
      </c>
      <c r="C359" t="s">
        <v>21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 x14ac:dyDescent="0.2">
      <c r="A360">
        <v>659</v>
      </c>
      <c r="B360">
        <v>353</v>
      </c>
      <c r="C360" t="s">
        <v>21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2">
      <c r="A361">
        <v>658</v>
      </c>
      <c r="B361">
        <v>354</v>
      </c>
      <c r="C361" t="s">
        <v>21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2">
      <c r="A362">
        <v>657</v>
      </c>
      <c r="B362">
        <v>355</v>
      </c>
      <c r="C362" t="s">
        <v>21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x14ac:dyDescent="0.2">
      <c r="A363">
        <v>656</v>
      </c>
      <c r="B363">
        <v>356</v>
      </c>
      <c r="C363" t="s">
        <v>21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2">
      <c r="A364">
        <v>655</v>
      </c>
      <c r="B364">
        <v>357</v>
      </c>
      <c r="C364" t="s">
        <v>21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2">
      <c r="A365">
        <v>654</v>
      </c>
      <c r="B365">
        <v>358</v>
      </c>
      <c r="C365" t="s">
        <v>21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2">
      <c r="A366">
        <v>653</v>
      </c>
      <c r="B366">
        <v>359</v>
      </c>
      <c r="C366" t="s">
        <v>21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2">
      <c r="A367">
        <v>652</v>
      </c>
      <c r="B367">
        <v>360</v>
      </c>
      <c r="C367" t="s">
        <v>21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2">
      <c r="A368">
        <v>651</v>
      </c>
      <c r="B368">
        <v>361</v>
      </c>
      <c r="C368" t="s">
        <v>21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2">
      <c r="A369">
        <v>650</v>
      </c>
      <c r="B369">
        <v>362</v>
      </c>
      <c r="C369" t="s">
        <v>21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2">
      <c r="A370">
        <v>649</v>
      </c>
      <c r="B370">
        <v>363</v>
      </c>
      <c r="C370" t="s">
        <v>21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46" x14ac:dyDescent="0.2">
      <c r="A371">
        <v>648</v>
      </c>
      <c r="B371">
        <v>364</v>
      </c>
      <c r="C371" t="s">
        <v>21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2">
      <c r="A372">
        <v>647</v>
      </c>
      <c r="B372">
        <v>365</v>
      </c>
      <c r="C372" t="s">
        <v>21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 x14ac:dyDescent="0.2">
      <c r="A373">
        <v>646</v>
      </c>
      <c r="B373">
        <v>366</v>
      </c>
      <c r="C373" t="s">
        <v>21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2">
      <c r="A374">
        <v>645</v>
      </c>
      <c r="B374">
        <v>367</v>
      </c>
      <c r="C374" t="s">
        <v>21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2">
      <c r="A375">
        <v>644</v>
      </c>
      <c r="B375">
        <v>368</v>
      </c>
      <c r="C375" t="s">
        <v>21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2">
      <c r="A376">
        <v>643</v>
      </c>
      <c r="B376">
        <v>369</v>
      </c>
      <c r="C376" t="s">
        <v>21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2">
      <c r="A377">
        <v>642</v>
      </c>
      <c r="B377">
        <v>370</v>
      </c>
      <c r="C377" t="s">
        <v>21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2">
      <c r="A378">
        <v>641</v>
      </c>
      <c r="B378">
        <v>371</v>
      </c>
      <c r="C378" t="s">
        <v>21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x14ac:dyDescent="0.2">
      <c r="A379">
        <v>640</v>
      </c>
      <c r="B379">
        <v>372</v>
      </c>
      <c r="C379" t="s">
        <v>21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2">
      <c r="A380">
        <v>639</v>
      </c>
      <c r="B380">
        <v>373</v>
      </c>
      <c r="C380" t="s">
        <v>21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2">
      <c r="A381">
        <v>638</v>
      </c>
      <c r="B381">
        <v>374</v>
      </c>
      <c r="C381" t="s">
        <v>21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 x14ac:dyDescent="0.2">
      <c r="A382">
        <v>637</v>
      </c>
      <c r="B382">
        <v>375</v>
      </c>
      <c r="C382" t="s">
        <v>21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2">
      <c r="A383">
        <v>636</v>
      </c>
      <c r="B383">
        <v>376</v>
      </c>
      <c r="C383" t="s">
        <v>21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2">
      <c r="A384">
        <v>635</v>
      </c>
      <c r="B384">
        <v>377</v>
      </c>
      <c r="C384" t="s">
        <v>21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46" x14ac:dyDescent="0.2">
      <c r="A385">
        <v>634</v>
      </c>
      <c r="B385">
        <v>378</v>
      </c>
      <c r="C385" t="s">
        <v>21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46" x14ac:dyDescent="0.2">
      <c r="A386">
        <v>633</v>
      </c>
      <c r="B386">
        <v>379</v>
      </c>
      <c r="C386" t="s">
        <v>21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46" x14ac:dyDescent="0.2">
      <c r="A387">
        <v>632</v>
      </c>
      <c r="B387">
        <v>380</v>
      </c>
      <c r="C387" t="s">
        <v>21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46" x14ac:dyDescent="0.2">
      <c r="A388">
        <v>631</v>
      </c>
      <c r="B388">
        <v>381</v>
      </c>
      <c r="C388" t="s">
        <v>21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46" x14ac:dyDescent="0.2">
      <c r="A389">
        <v>630</v>
      </c>
      <c r="B389">
        <v>382</v>
      </c>
      <c r="C389" t="s">
        <v>21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46" x14ac:dyDescent="0.2">
      <c r="A390">
        <v>629</v>
      </c>
      <c r="B390">
        <v>383</v>
      </c>
      <c r="C390" t="s">
        <v>21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46" x14ac:dyDescent="0.2">
      <c r="A391">
        <v>628</v>
      </c>
      <c r="B391">
        <v>384</v>
      </c>
      <c r="C391" t="s">
        <v>21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46" x14ac:dyDescent="0.2">
      <c r="A392">
        <v>627</v>
      </c>
      <c r="B392">
        <v>385</v>
      </c>
      <c r="C392" t="s">
        <v>21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46" x14ac:dyDescent="0.2">
      <c r="A393">
        <v>626</v>
      </c>
      <c r="B393">
        <v>386</v>
      </c>
      <c r="C393" t="s">
        <v>21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46" x14ac:dyDescent="0.2">
      <c r="A394">
        <v>625</v>
      </c>
      <c r="B394">
        <v>387</v>
      </c>
      <c r="C394" t="s">
        <v>21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46" x14ac:dyDescent="0.2">
      <c r="A395">
        <v>624</v>
      </c>
      <c r="B395">
        <v>388</v>
      </c>
      <c r="C395" t="s">
        <v>21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46" x14ac:dyDescent="0.2">
      <c r="A396">
        <v>623</v>
      </c>
      <c r="B396">
        <v>389</v>
      </c>
      <c r="C396" t="s">
        <v>21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46" x14ac:dyDescent="0.2">
      <c r="A397">
        <v>622</v>
      </c>
      <c r="B397">
        <v>390</v>
      </c>
      <c r="C397" t="s">
        <v>21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46" x14ac:dyDescent="0.2">
      <c r="A398">
        <v>621</v>
      </c>
      <c r="B398">
        <v>391</v>
      </c>
      <c r="C398" t="s">
        <v>21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46" x14ac:dyDescent="0.2">
      <c r="A399">
        <v>620</v>
      </c>
      <c r="B399">
        <v>392</v>
      </c>
      <c r="C399" t="s">
        <v>21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46" x14ac:dyDescent="0.2">
      <c r="A400">
        <v>619</v>
      </c>
      <c r="B400">
        <v>393</v>
      </c>
      <c r="C400" t="s">
        <v>21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 x14ac:dyDescent="0.2">
      <c r="A401">
        <v>618</v>
      </c>
      <c r="B401">
        <v>394</v>
      </c>
      <c r="C401" t="s">
        <v>21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46" x14ac:dyDescent="0.2">
      <c r="A402">
        <v>617</v>
      </c>
      <c r="B402">
        <v>395</v>
      </c>
      <c r="C402" t="s">
        <v>21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46" x14ac:dyDescent="0.2">
      <c r="A403">
        <v>616</v>
      </c>
      <c r="B403">
        <v>396</v>
      </c>
      <c r="C403" t="s">
        <v>21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46" x14ac:dyDescent="0.2">
      <c r="A404">
        <v>615</v>
      </c>
      <c r="B404">
        <v>397</v>
      </c>
      <c r="C404" t="s">
        <v>21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46" x14ac:dyDescent="0.2">
      <c r="A405">
        <v>614</v>
      </c>
      <c r="B405">
        <v>398</v>
      </c>
      <c r="C405" t="s">
        <v>21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46" x14ac:dyDescent="0.2">
      <c r="A406">
        <v>613</v>
      </c>
      <c r="B406">
        <v>399</v>
      </c>
      <c r="C406" t="s">
        <v>21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x14ac:dyDescent="0.2">
      <c r="A407">
        <v>612</v>
      </c>
      <c r="B407">
        <v>400</v>
      </c>
      <c r="C407" t="s">
        <v>21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46" x14ac:dyDescent="0.2">
      <c r="A408">
        <v>611</v>
      </c>
      <c r="B408">
        <v>401</v>
      </c>
      <c r="C408" t="s">
        <v>21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46" x14ac:dyDescent="0.2">
      <c r="A409">
        <v>610</v>
      </c>
      <c r="B409">
        <v>402</v>
      </c>
      <c r="C409" t="s">
        <v>21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2">
      <c r="A410">
        <v>609</v>
      </c>
      <c r="B410">
        <v>403</v>
      </c>
      <c r="C410" t="s">
        <v>21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46" x14ac:dyDescent="0.2">
      <c r="A411">
        <v>608</v>
      </c>
      <c r="B411">
        <v>404</v>
      </c>
      <c r="C411" t="s">
        <v>21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 x14ac:dyDescent="0.2">
      <c r="A412">
        <v>607</v>
      </c>
      <c r="B412">
        <v>405</v>
      </c>
      <c r="C412" t="s">
        <v>21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x14ac:dyDescent="0.2">
      <c r="A413">
        <v>606</v>
      </c>
      <c r="B413">
        <v>406</v>
      </c>
      <c r="C413" t="s">
        <v>21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46" x14ac:dyDescent="0.2">
      <c r="A414">
        <v>605</v>
      </c>
      <c r="B414">
        <v>407</v>
      </c>
      <c r="C414" t="s">
        <v>21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46" x14ac:dyDescent="0.2">
      <c r="A415">
        <v>604</v>
      </c>
      <c r="B415">
        <v>408</v>
      </c>
      <c r="C415" t="s">
        <v>21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46" x14ac:dyDescent="0.2">
      <c r="A416">
        <v>603</v>
      </c>
      <c r="B416">
        <v>409</v>
      </c>
      <c r="C416" t="s">
        <v>21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46" x14ac:dyDescent="0.2">
      <c r="A417">
        <v>602</v>
      </c>
      <c r="B417">
        <v>410</v>
      </c>
      <c r="C417" t="s">
        <v>21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2">
      <c r="A418">
        <v>601</v>
      </c>
      <c r="B418">
        <v>411</v>
      </c>
      <c r="C418" t="s">
        <v>21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2">
      <c r="A419">
        <v>600</v>
      </c>
      <c r="B419">
        <v>412</v>
      </c>
      <c r="C419" t="s">
        <v>21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2">
      <c r="A420">
        <v>599</v>
      </c>
      <c r="B420">
        <v>413</v>
      </c>
      <c r="C420" t="s">
        <v>21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 x14ac:dyDescent="0.2">
      <c r="A421">
        <v>598</v>
      </c>
      <c r="B421">
        <v>414</v>
      </c>
      <c r="C421" t="s">
        <v>21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 x14ac:dyDescent="0.2">
      <c r="A422">
        <v>597</v>
      </c>
      <c r="B422">
        <v>415</v>
      </c>
      <c r="C422" t="s">
        <v>21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46" x14ac:dyDescent="0.2">
      <c r="A423">
        <v>596</v>
      </c>
      <c r="B423">
        <v>416</v>
      </c>
      <c r="C423" t="s">
        <v>21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46" x14ac:dyDescent="0.2">
      <c r="A424">
        <v>595</v>
      </c>
      <c r="B424">
        <v>417</v>
      </c>
      <c r="C424" t="s">
        <v>21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46" x14ac:dyDescent="0.2">
      <c r="A425">
        <v>594</v>
      </c>
      <c r="B425">
        <v>418</v>
      </c>
      <c r="C425" t="s">
        <v>21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 x14ac:dyDescent="0.2">
      <c r="A426">
        <v>593</v>
      </c>
      <c r="B426">
        <v>419</v>
      </c>
      <c r="C426" t="s">
        <v>21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x14ac:dyDescent="0.2">
      <c r="A427">
        <v>592</v>
      </c>
      <c r="B427">
        <v>420</v>
      </c>
      <c r="C427" t="s">
        <v>21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46" x14ac:dyDescent="0.2">
      <c r="A428">
        <v>591</v>
      </c>
      <c r="B428">
        <v>421</v>
      </c>
      <c r="C428" t="s">
        <v>21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x14ac:dyDescent="0.2">
      <c r="A429">
        <v>590</v>
      </c>
      <c r="B429">
        <v>422</v>
      </c>
      <c r="C429" t="s">
        <v>21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 x14ac:dyDescent="0.2">
      <c r="A430">
        <v>589</v>
      </c>
      <c r="B430">
        <v>423</v>
      </c>
      <c r="C430" t="s">
        <v>21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</row>
    <row r="431" spans="1:46" x14ac:dyDescent="0.2">
      <c r="A431">
        <v>588</v>
      </c>
      <c r="B431">
        <v>424</v>
      </c>
      <c r="C431" t="s">
        <v>21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46" x14ac:dyDescent="0.2">
      <c r="A432">
        <v>587</v>
      </c>
      <c r="B432">
        <v>425</v>
      </c>
      <c r="C432" t="s">
        <v>21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 spans="1:46" x14ac:dyDescent="0.2">
      <c r="A433">
        <v>586</v>
      </c>
      <c r="B433">
        <v>426</v>
      </c>
      <c r="C433" t="s">
        <v>21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46" x14ac:dyDescent="0.2">
      <c r="A434">
        <v>585</v>
      </c>
      <c r="B434">
        <v>427</v>
      </c>
      <c r="C434" t="s">
        <v>21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2">
      <c r="A435">
        <v>584</v>
      </c>
      <c r="B435">
        <v>428</v>
      </c>
      <c r="C435" t="s">
        <v>21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46" x14ac:dyDescent="0.2">
      <c r="A436">
        <v>583</v>
      </c>
      <c r="B436">
        <v>429</v>
      </c>
      <c r="C436" t="s">
        <v>21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 x14ac:dyDescent="0.2">
      <c r="A437">
        <v>582</v>
      </c>
      <c r="B437">
        <v>430</v>
      </c>
      <c r="C437" t="s">
        <v>21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 x14ac:dyDescent="0.2">
      <c r="A438">
        <v>581</v>
      </c>
      <c r="B438">
        <v>431</v>
      </c>
      <c r="C438" t="s">
        <v>21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2">
      <c r="A439">
        <v>580</v>
      </c>
      <c r="B439">
        <v>432</v>
      </c>
      <c r="C439" t="s">
        <v>21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46" x14ac:dyDescent="0.2">
      <c r="A440">
        <v>579</v>
      </c>
      <c r="B440">
        <v>433</v>
      </c>
      <c r="C440" t="s">
        <v>21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 x14ac:dyDescent="0.2">
      <c r="A441">
        <v>578</v>
      </c>
      <c r="B441">
        <v>434</v>
      </c>
      <c r="C441" t="s">
        <v>21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 x14ac:dyDescent="0.2">
      <c r="A442">
        <v>577</v>
      </c>
      <c r="B442">
        <v>435</v>
      </c>
      <c r="C442" t="s">
        <v>21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x14ac:dyDescent="0.2">
      <c r="A443">
        <v>576</v>
      </c>
      <c r="B443">
        <v>436</v>
      </c>
      <c r="C443" t="s">
        <v>21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x14ac:dyDescent="0.2">
      <c r="A444">
        <v>575</v>
      </c>
      <c r="B444">
        <v>437</v>
      </c>
      <c r="C444" t="s">
        <v>21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46" x14ac:dyDescent="0.2">
      <c r="A445">
        <v>574</v>
      </c>
      <c r="B445">
        <v>438</v>
      </c>
      <c r="C445" t="s">
        <v>21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 x14ac:dyDescent="0.2">
      <c r="A446">
        <v>573</v>
      </c>
      <c r="B446">
        <v>439</v>
      </c>
      <c r="C446" t="s">
        <v>21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46" x14ac:dyDescent="0.2">
      <c r="A447">
        <v>572</v>
      </c>
      <c r="B447">
        <v>440</v>
      </c>
      <c r="C447" t="s">
        <v>21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46" x14ac:dyDescent="0.2">
      <c r="A448">
        <v>571</v>
      </c>
      <c r="B448">
        <v>441</v>
      </c>
      <c r="C448" t="s">
        <v>21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46" x14ac:dyDescent="0.2">
      <c r="A449">
        <v>570</v>
      </c>
      <c r="B449">
        <v>442</v>
      </c>
      <c r="C449" t="s">
        <v>21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</row>
    <row r="450" spans="1:46" x14ac:dyDescent="0.2">
      <c r="A450">
        <v>569</v>
      </c>
      <c r="B450">
        <v>443</v>
      </c>
      <c r="C450" t="s">
        <v>21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1:46" x14ac:dyDescent="0.2">
      <c r="A451">
        <v>568</v>
      </c>
      <c r="B451">
        <v>444</v>
      </c>
      <c r="C451" t="s">
        <v>21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1:46" x14ac:dyDescent="0.2">
      <c r="A452">
        <v>567</v>
      </c>
      <c r="B452">
        <v>445</v>
      </c>
      <c r="C452" t="s">
        <v>21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1:46" x14ac:dyDescent="0.2">
      <c r="A453">
        <v>566</v>
      </c>
      <c r="B453">
        <v>446</v>
      </c>
      <c r="C453" t="s">
        <v>21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</row>
    <row r="454" spans="1:46" x14ac:dyDescent="0.2">
      <c r="A454">
        <v>565</v>
      </c>
      <c r="B454">
        <v>447</v>
      </c>
      <c r="C454" t="s">
        <v>21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1:46" x14ac:dyDescent="0.2">
      <c r="A455">
        <v>564</v>
      </c>
      <c r="B455">
        <v>448</v>
      </c>
      <c r="C455" t="s">
        <v>21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1:46" x14ac:dyDescent="0.2">
      <c r="A456">
        <v>563</v>
      </c>
      <c r="B456">
        <v>449</v>
      </c>
      <c r="C456" t="s">
        <v>21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</row>
    <row r="457" spans="1:46" x14ac:dyDescent="0.2">
      <c r="A457">
        <v>562</v>
      </c>
      <c r="B457">
        <v>450</v>
      </c>
      <c r="C457" t="s">
        <v>21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</row>
    <row r="458" spans="1:46" x14ac:dyDescent="0.2">
      <c r="A458">
        <v>561</v>
      </c>
      <c r="B458">
        <v>451</v>
      </c>
      <c r="C458" t="s">
        <v>21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  <row r="459" spans="1:46" x14ac:dyDescent="0.2">
      <c r="A459">
        <v>560</v>
      </c>
      <c r="B459">
        <v>452</v>
      </c>
      <c r="C459" t="s">
        <v>21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1:46" x14ac:dyDescent="0.2">
      <c r="A460">
        <v>559</v>
      </c>
      <c r="B460">
        <v>453</v>
      </c>
      <c r="C460" t="s">
        <v>21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</row>
    <row r="461" spans="1:46" x14ac:dyDescent="0.2">
      <c r="A461">
        <v>558</v>
      </c>
      <c r="B461">
        <v>454</v>
      </c>
      <c r="C461" t="s">
        <v>21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</row>
    <row r="462" spans="1:46" x14ac:dyDescent="0.2">
      <c r="A462">
        <v>557</v>
      </c>
      <c r="B462">
        <v>455</v>
      </c>
      <c r="C462" t="s">
        <v>21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</row>
    <row r="463" spans="1:46" x14ac:dyDescent="0.2">
      <c r="A463">
        <v>556</v>
      </c>
      <c r="B463">
        <v>456</v>
      </c>
      <c r="C463" t="s">
        <v>21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1:46" x14ac:dyDescent="0.2">
      <c r="A464">
        <v>555</v>
      </c>
      <c r="B464">
        <v>457</v>
      </c>
      <c r="C464" t="s">
        <v>21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</row>
    <row r="465" spans="1:46" x14ac:dyDescent="0.2">
      <c r="A465">
        <v>554</v>
      </c>
      <c r="B465">
        <v>458</v>
      </c>
      <c r="C465" t="s">
        <v>21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</row>
    <row r="466" spans="1:46" x14ac:dyDescent="0.2">
      <c r="A466">
        <v>553</v>
      </c>
      <c r="B466">
        <v>459</v>
      </c>
      <c r="C466" t="s">
        <v>21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</row>
    <row r="467" spans="1:46" x14ac:dyDescent="0.2">
      <c r="A467">
        <v>552</v>
      </c>
      <c r="B467">
        <v>460</v>
      </c>
      <c r="C467" t="s">
        <v>21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</row>
    <row r="468" spans="1:46" x14ac:dyDescent="0.2">
      <c r="A468">
        <v>551</v>
      </c>
      <c r="B468">
        <v>461</v>
      </c>
      <c r="C468" t="s">
        <v>21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1:46" x14ac:dyDescent="0.2">
      <c r="A469">
        <v>550</v>
      </c>
      <c r="B469">
        <v>462</v>
      </c>
      <c r="C469" t="s">
        <v>21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 spans="1:46" x14ac:dyDescent="0.2">
      <c r="A470">
        <v>549</v>
      </c>
      <c r="B470">
        <v>463</v>
      </c>
      <c r="C470" t="s">
        <v>21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1:46" x14ac:dyDescent="0.2">
      <c r="A471">
        <v>548</v>
      </c>
      <c r="B471">
        <v>464</v>
      </c>
      <c r="C471" t="s">
        <v>21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1:46" x14ac:dyDescent="0.2">
      <c r="A472">
        <v>547</v>
      </c>
      <c r="B472">
        <v>465</v>
      </c>
      <c r="C472" t="s">
        <v>21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46" x14ac:dyDescent="0.2">
      <c r="A473">
        <v>546</v>
      </c>
      <c r="B473">
        <v>466</v>
      </c>
      <c r="C473" t="s">
        <v>21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46" x14ac:dyDescent="0.2">
      <c r="A474">
        <v>545</v>
      </c>
      <c r="B474">
        <v>467</v>
      </c>
      <c r="C474" t="s">
        <v>21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</row>
    <row r="475" spans="1:46" x14ac:dyDescent="0.2">
      <c r="A475">
        <v>544</v>
      </c>
      <c r="B475">
        <v>468</v>
      </c>
      <c r="C475" t="s">
        <v>21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46" x14ac:dyDescent="0.2">
      <c r="A476">
        <v>543</v>
      </c>
      <c r="B476">
        <v>469</v>
      </c>
      <c r="C476" t="s">
        <v>21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">
      <c r="A477">
        <v>542</v>
      </c>
      <c r="B477">
        <v>470</v>
      </c>
      <c r="C477" t="s">
        <v>21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</row>
    <row r="478" spans="1:46" x14ac:dyDescent="0.2">
      <c r="A478">
        <v>541</v>
      </c>
      <c r="B478">
        <v>471</v>
      </c>
      <c r="C478" t="s">
        <v>21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1:46" x14ac:dyDescent="0.2">
      <c r="A479">
        <v>540</v>
      </c>
      <c r="B479">
        <v>472</v>
      </c>
      <c r="C479" t="s">
        <v>21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46" x14ac:dyDescent="0.2">
      <c r="A480">
        <v>539</v>
      </c>
      <c r="B480">
        <v>473</v>
      </c>
      <c r="C480" t="s">
        <v>21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46" x14ac:dyDescent="0.2">
      <c r="A481">
        <v>538</v>
      </c>
      <c r="B481">
        <v>474</v>
      </c>
      <c r="C481" t="s">
        <v>21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46" x14ac:dyDescent="0.2">
      <c r="A482">
        <v>537</v>
      </c>
      <c r="B482">
        <v>475</v>
      </c>
      <c r="C482" t="s">
        <v>21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</row>
    <row r="483" spans="1:46" x14ac:dyDescent="0.2">
      <c r="A483">
        <v>536</v>
      </c>
      <c r="B483">
        <v>476</v>
      </c>
      <c r="C483" t="s">
        <v>21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1:46" x14ac:dyDescent="0.2">
      <c r="A484">
        <v>535</v>
      </c>
      <c r="B484">
        <v>477</v>
      </c>
      <c r="C484" t="s">
        <v>21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1:46" x14ac:dyDescent="0.2">
      <c r="A485">
        <v>534</v>
      </c>
      <c r="B485">
        <v>478</v>
      </c>
      <c r="C485" t="s">
        <v>21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46" x14ac:dyDescent="0.2">
      <c r="A486">
        <v>533</v>
      </c>
      <c r="B486">
        <v>479</v>
      </c>
      <c r="C486" t="s">
        <v>21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1:46" x14ac:dyDescent="0.2">
      <c r="A487">
        <v>532</v>
      </c>
      <c r="B487">
        <v>480</v>
      </c>
      <c r="C487" t="s">
        <v>21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</row>
    <row r="488" spans="1:46" x14ac:dyDescent="0.2">
      <c r="A488">
        <v>531</v>
      </c>
      <c r="B488">
        <v>481</v>
      </c>
      <c r="C488" t="s">
        <v>21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1:46" x14ac:dyDescent="0.2">
      <c r="A489">
        <v>530</v>
      </c>
      <c r="B489">
        <v>482</v>
      </c>
      <c r="C489" t="s">
        <v>21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1:46" x14ac:dyDescent="0.2">
      <c r="A490">
        <v>529</v>
      </c>
      <c r="B490">
        <v>483</v>
      </c>
      <c r="C490" t="s">
        <v>21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46" x14ac:dyDescent="0.2">
      <c r="A491">
        <v>528</v>
      </c>
      <c r="B491">
        <v>484</v>
      </c>
      <c r="C491" t="s">
        <v>21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46" x14ac:dyDescent="0.2">
      <c r="A492">
        <v>527</v>
      </c>
      <c r="B492">
        <v>485</v>
      </c>
      <c r="C492" t="s">
        <v>21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1:46" x14ac:dyDescent="0.2">
      <c r="A493">
        <v>526</v>
      </c>
      <c r="B493">
        <v>486</v>
      </c>
      <c r="C493" t="s">
        <v>21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1:46" x14ac:dyDescent="0.2">
      <c r="A494">
        <v>525</v>
      </c>
      <c r="B494">
        <v>487</v>
      </c>
      <c r="C494" t="s">
        <v>21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46" x14ac:dyDescent="0.2">
      <c r="A495">
        <v>524</v>
      </c>
      <c r="B495">
        <v>488</v>
      </c>
      <c r="C495" t="s">
        <v>21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1:46" x14ac:dyDescent="0.2">
      <c r="A496">
        <v>523</v>
      </c>
      <c r="B496">
        <v>489</v>
      </c>
      <c r="C496" t="s">
        <v>21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46" x14ac:dyDescent="0.2">
      <c r="A497">
        <v>522</v>
      </c>
      <c r="B497">
        <v>490</v>
      </c>
      <c r="C497" t="s">
        <v>21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1:46" x14ac:dyDescent="0.2">
      <c r="A498">
        <v>521</v>
      </c>
      <c r="B498">
        <v>491</v>
      </c>
      <c r="C498" t="s">
        <v>21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1:46" x14ac:dyDescent="0.2">
      <c r="A499">
        <v>520</v>
      </c>
      <c r="B499">
        <v>492</v>
      </c>
      <c r="C499" t="s">
        <v>21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46" x14ac:dyDescent="0.2">
      <c r="A500">
        <v>519</v>
      </c>
      <c r="B500">
        <v>493</v>
      </c>
      <c r="C500" t="s">
        <v>21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1:46" x14ac:dyDescent="0.2">
      <c r="A501">
        <v>518</v>
      </c>
      <c r="B501">
        <v>494</v>
      </c>
      <c r="C501" t="s">
        <v>21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1:46" x14ac:dyDescent="0.2">
      <c r="A502">
        <v>517</v>
      </c>
      <c r="B502">
        <v>495</v>
      </c>
      <c r="C502" t="s">
        <v>21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46" x14ac:dyDescent="0.2">
      <c r="A503">
        <v>516</v>
      </c>
      <c r="B503">
        <v>496</v>
      </c>
      <c r="C503" t="s">
        <v>21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46" x14ac:dyDescent="0.2">
      <c r="A504">
        <v>515</v>
      </c>
      <c r="B504">
        <v>497</v>
      </c>
      <c r="C504" t="s">
        <v>21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46" x14ac:dyDescent="0.2">
      <c r="A505">
        <v>514</v>
      </c>
      <c r="B505">
        <v>498</v>
      </c>
      <c r="C505" t="s">
        <v>21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46" x14ac:dyDescent="0.2">
      <c r="A506">
        <v>513</v>
      </c>
      <c r="B506">
        <v>499</v>
      </c>
      <c r="C506" t="s">
        <v>21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</row>
    <row r="507" spans="1:46" x14ac:dyDescent="0.2">
      <c r="A507">
        <v>512</v>
      </c>
      <c r="B507">
        <v>500</v>
      </c>
      <c r="C507" t="s">
        <v>21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1:46" x14ac:dyDescent="0.2">
      <c r="A508">
        <v>511</v>
      </c>
      <c r="B508">
        <v>501</v>
      </c>
      <c r="C508" t="s">
        <v>21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46" x14ac:dyDescent="0.2">
      <c r="A509">
        <v>510</v>
      </c>
      <c r="B509">
        <v>502</v>
      </c>
      <c r="C509" t="s">
        <v>21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46" x14ac:dyDescent="0.2">
      <c r="A510">
        <v>509</v>
      </c>
      <c r="B510">
        <v>503</v>
      </c>
      <c r="C510" t="s">
        <v>21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46" x14ac:dyDescent="0.2">
      <c r="A511">
        <v>508</v>
      </c>
      <c r="B511">
        <v>504</v>
      </c>
      <c r="C511" t="s">
        <v>21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46" x14ac:dyDescent="0.2">
      <c r="A512">
        <v>507</v>
      </c>
      <c r="B512">
        <v>505</v>
      </c>
      <c r="C512" t="s">
        <v>21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46" x14ac:dyDescent="0.2">
      <c r="A513">
        <v>506</v>
      </c>
      <c r="B513">
        <v>506</v>
      </c>
      <c r="C513" t="s">
        <v>21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1:46" x14ac:dyDescent="0.2">
      <c r="A514">
        <v>505</v>
      </c>
      <c r="B514">
        <v>507</v>
      </c>
      <c r="C514" t="s">
        <v>21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</row>
    <row r="515" spans="1:46" x14ac:dyDescent="0.2">
      <c r="A515">
        <v>504</v>
      </c>
      <c r="B515">
        <v>508</v>
      </c>
      <c r="C515" t="s">
        <v>21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1:46" x14ac:dyDescent="0.2">
      <c r="A516">
        <v>503</v>
      </c>
      <c r="B516">
        <v>509</v>
      </c>
      <c r="C516" t="s">
        <v>21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46" x14ac:dyDescent="0.2">
      <c r="A517">
        <v>502</v>
      </c>
      <c r="B517">
        <v>510</v>
      </c>
      <c r="C517" t="s">
        <v>21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46" x14ac:dyDescent="0.2">
      <c r="A518">
        <v>501</v>
      </c>
      <c r="B518">
        <v>511</v>
      </c>
      <c r="C518" t="s">
        <v>21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46" x14ac:dyDescent="0.2">
      <c r="A519">
        <v>500</v>
      </c>
      <c r="B519">
        <v>512</v>
      </c>
      <c r="C519" t="s">
        <v>21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46" x14ac:dyDescent="0.2">
      <c r="A520">
        <v>499</v>
      </c>
      <c r="B520">
        <v>513</v>
      </c>
      <c r="C520" t="s">
        <v>21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46" x14ac:dyDescent="0.2">
      <c r="A521">
        <v>498</v>
      </c>
      <c r="B521">
        <v>514</v>
      </c>
      <c r="C521" t="s">
        <v>21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46" x14ac:dyDescent="0.2">
      <c r="A522">
        <v>497</v>
      </c>
      <c r="B522">
        <v>515</v>
      </c>
      <c r="C522" t="s">
        <v>21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46" x14ac:dyDescent="0.2">
      <c r="A523">
        <v>496</v>
      </c>
      <c r="B523">
        <v>516</v>
      </c>
      <c r="C523" t="s">
        <v>21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46" x14ac:dyDescent="0.2">
      <c r="A524">
        <v>495</v>
      </c>
      <c r="B524">
        <v>517</v>
      </c>
      <c r="C524" t="s">
        <v>21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46" x14ac:dyDescent="0.2">
      <c r="A525">
        <v>494</v>
      </c>
      <c r="B525">
        <v>518</v>
      </c>
      <c r="C525" t="s">
        <v>21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46" x14ac:dyDescent="0.2">
      <c r="A526">
        <v>493</v>
      </c>
      <c r="B526">
        <v>519</v>
      </c>
      <c r="C526" t="s">
        <v>21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46" x14ac:dyDescent="0.2">
      <c r="A527">
        <v>492</v>
      </c>
      <c r="B527">
        <v>520</v>
      </c>
      <c r="C527" t="s">
        <v>21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46" x14ac:dyDescent="0.2">
      <c r="A528">
        <v>491</v>
      </c>
      <c r="B528">
        <v>521</v>
      </c>
      <c r="C528" t="s">
        <v>21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46" x14ac:dyDescent="0.2">
      <c r="A529">
        <v>490</v>
      </c>
      <c r="B529">
        <v>522</v>
      </c>
      <c r="C529" t="s">
        <v>21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46" x14ac:dyDescent="0.2">
      <c r="A530">
        <v>489</v>
      </c>
      <c r="B530">
        <v>523</v>
      </c>
      <c r="C530" t="s">
        <v>21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46" x14ac:dyDescent="0.2">
      <c r="A531">
        <v>488</v>
      </c>
      <c r="B531">
        <v>524</v>
      </c>
      <c r="C531" t="s">
        <v>21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46" x14ac:dyDescent="0.2">
      <c r="A532">
        <v>487</v>
      </c>
      <c r="B532">
        <v>525</v>
      </c>
      <c r="C532" t="s">
        <v>21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46" x14ac:dyDescent="0.2">
      <c r="A533">
        <v>486</v>
      </c>
      <c r="B533">
        <v>526</v>
      </c>
      <c r="C533" t="s">
        <v>21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46" x14ac:dyDescent="0.2">
      <c r="A534">
        <v>485</v>
      </c>
      <c r="B534">
        <v>527</v>
      </c>
      <c r="C534" t="s">
        <v>21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46" x14ac:dyDescent="0.2">
      <c r="A535">
        <v>484</v>
      </c>
      <c r="B535">
        <v>528</v>
      </c>
      <c r="C535" t="s">
        <v>21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46" x14ac:dyDescent="0.2">
      <c r="A536">
        <v>483</v>
      </c>
      <c r="B536">
        <v>529</v>
      </c>
      <c r="C536" t="s">
        <v>21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46" x14ac:dyDescent="0.2">
      <c r="A537">
        <v>482</v>
      </c>
      <c r="B537">
        <v>530</v>
      </c>
      <c r="C537" t="s">
        <v>21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46" x14ac:dyDescent="0.2">
      <c r="A538">
        <v>481</v>
      </c>
      <c r="B538">
        <v>531</v>
      </c>
      <c r="C538" t="s">
        <v>21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46" x14ac:dyDescent="0.2">
      <c r="A539">
        <v>480</v>
      </c>
      <c r="B539">
        <v>532</v>
      </c>
      <c r="C539" t="s">
        <v>21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46" x14ac:dyDescent="0.2">
      <c r="A540">
        <v>479</v>
      </c>
      <c r="B540">
        <v>533</v>
      </c>
      <c r="C540" t="s">
        <v>21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46" x14ac:dyDescent="0.2">
      <c r="A541">
        <v>478</v>
      </c>
      <c r="B541">
        <v>534</v>
      </c>
      <c r="C541" t="s">
        <v>21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46" x14ac:dyDescent="0.2">
      <c r="A542">
        <v>477</v>
      </c>
      <c r="B542">
        <v>535</v>
      </c>
      <c r="C542" t="s">
        <v>21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 spans="1:46" x14ac:dyDescent="0.2">
      <c r="A543">
        <v>476</v>
      </c>
      <c r="B543">
        <v>536</v>
      </c>
      <c r="C543" t="s">
        <v>21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46" x14ac:dyDescent="0.2">
      <c r="A544">
        <v>475</v>
      </c>
      <c r="B544">
        <v>537</v>
      </c>
      <c r="C544" t="s">
        <v>21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46" x14ac:dyDescent="0.2">
      <c r="A545">
        <v>474</v>
      </c>
      <c r="B545">
        <v>538</v>
      </c>
      <c r="C545" t="s">
        <v>21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46" x14ac:dyDescent="0.2">
      <c r="A546">
        <v>473</v>
      </c>
      <c r="B546">
        <v>539</v>
      </c>
      <c r="C546" t="s">
        <v>21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46" x14ac:dyDescent="0.2">
      <c r="A547">
        <v>472</v>
      </c>
      <c r="B547">
        <v>540</v>
      </c>
      <c r="C547" t="s">
        <v>21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46" x14ac:dyDescent="0.2">
      <c r="A548">
        <v>471</v>
      </c>
      <c r="B548">
        <v>541</v>
      </c>
      <c r="C548" t="s">
        <v>21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1:46" x14ac:dyDescent="0.2">
      <c r="A549">
        <v>470</v>
      </c>
      <c r="B549">
        <v>542</v>
      </c>
      <c r="C549" t="s">
        <v>21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46" x14ac:dyDescent="0.2">
      <c r="A550">
        <v>469</v>
      </c>
      <c r="B550">
        <v>543</v>
      </c>
      <c r="C550" t="s">
        <v>21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1:46" x14ac:dyDescent="0.2">
      <c r="A551">
        <v>468</v>
      </c>
      <c r="B551">
        <v>544</v>
      </c>
      <c r="C551" t="s">
        <v>21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46" x14ac:dyDescent="0.2">
      <c r="A552">
        <v>467</v>
      </c>
      <c r="B552">
        <v>545</v>
      </c>
      <c r="C552" t="s">
        <v>21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1:46" x14ac:dyDescent="0.2">
      <c r="A553">
        <v>466</v>
      </c>
      <c r="B553">
        <v>546</v>
      </c>
      <c r="C553" t="s">
        <v>21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1:46" x14ac:dyDescent="0.2">
      <c r="A554">
        <v>465</v>
      </c>
      <c r="B554">
        <v>547</v>
      </c>
      <c r="C554" t="s">
        <v>21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1:46" x14ac:dyDescent="0.2">
      <c r="A555">
        <v>464</v>
      </c>
      <c r="B555">
        <v>548</v>
      </c>
      <c r="C555" t="s">
        <v>21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1:46" x14ac:dyDescent="0.2">
      <c r="A556">
        <v>463</v>
      </c>
      <c r="B556">
        <v>549</v>
      </c>
      <c r="C556" t="s">
        <v>21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46" x14ac:dyDescent="0.2">
      <c r="A557">
        <v>462</v>
      </c>
      <c r="B557">
        <v>550</v>
      </c>
      <c r="C557" t="s">
        <v>21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46" x14ac:dyDescent="0.2">
      <c r="A558">
        <v>461</v>
      </c>
      <c r="B558">
        <v>551</v>
      </c>
      <c r="C558" t="s">
        <v>21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46" x14ac:dyDescent="0.2">
      <c r="A559">
        <v>460</v>
      </c>
      <c r="B559">
        <v>552</v>
      </c>
      <c r="C559" t="s">
        <v>21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46" x14ac:dyDescent="0.2">
      <c r="A560">
        <v>459</v>
      </c>
      <c r="B560">
        <v>553</v>
      </c>
      <c r="C560" t="s">
        <v>21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46" x14ac:dyDescent="0.2">
      <c r="A561">
        <v>458</v>
      </c>
      <c r="B561">
        <v>554</v>
      </c>
      <c r="C561" t="s">
        <v>21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46" x14ac:dyDescent="0.2">
      <c r="A562">
        <v>457</v>
      </c>
      <c r="B562">
        <v>555</v>
      </c>
      <c r="C562" t="s">
        <v>21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46" x14ac:dyDescent="0.2">
      <c r="A563">
        <v>456</v>
      </c>
      <c r="B563">
        <v>556</v>
      </c>
      <c r="C563" t="s">
        <v>21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46" x14ac:dyDescent="0.2">
      <c r="A564">
        <v>455</v>
      </c>
      <c r="B564">
        <v>557</v>
      </c>
      <c r="C564" t="s">
        <v>21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46" x14ac:dyDescent="0.2">
      <c r="A565">
        <v>454</v>
      </c>
      <c r="B565">
        <v>558</v>
      </c>
      <c r="C565" t="s">
        <v>21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46" x14ac:dyDescent="0.2">
      <c r="A566">
        <v>453</v>
      </c>
      <c r="B566">
        <v>559</v>
      </c>
      <c r="C566" t="s">
        <v>21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46" x14ac:dyDescent="0.2">
      <c r="A567">
        <v>452</v>
      </c>
      <c r="B567">
        <v>560</v>
      </c>
      <c r="C567" t="s">
        <v>21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46" x14ac:dyDescent="0.2">
      <c r="A568">
        <v>451</v>
      </c>
      <c r="B568">
        <v>561</v>
      </c>
      <c r="C568" t="s">
        <v>21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46" x14ac:dyDescent="0.2">
      <c r="A569">
        <v>450</v>
      </c>
      <c r="B569">
        <v>562</v>
      </c>
      <c r="C569" t="s">
        <v>21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46" x14ac:dyDescent="0.2">
      <c r="A570">
        <v>449</v>
      </c>
      <c r="B570">
        <v>563</v>
      </c>
      <c r="C570" t="s">
        <v>21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46" x14ac:dyDescent="0.2">
      <c r="A571">
        <v>448</v>
      </c>
      <c r="B571">
        <v>564</v>
      </c>
      <c r="C571" t="s">
        <v>21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46" x14ac:dyDescent="0.2">
      <c r="A572">
        <v>447</v>
      </c>
      <c r="B572">
        <v>565</v>
      </c>
      <c r="C572" t="s">
        <v>21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46" x14ac:dyDescent="0.2">
      <c r="A573">
        <v>446</v>
      </c>
      <c r="B573">
        <v>566</v>
      </c>
      <c r="C573" t="s">
        <v>21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46" x14ac:dyDescent="0.2">
      <c r="A574">
        <v>445</v>
      </c>
      <c r="B574">
        <v>567</v>
      </c>
      <c r="C574" t="s">
        <v>21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1:46" x14ac:dyDescent="0.2">
      <c r="A575">
        <v>444</v>
      </c>
      <c r="B575">
        <v>568</v>
      </c>
      <c r="C575" t="s">
        <v>21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1:46" x14ac:dyDescent="0.2">
      <c r="A576">
        <v>443</v>
      </c>
      <c r="B576">
        <v>569</v>
      </c>
      <c r="C576" t="s">
        <v>21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46" x14ac:dyDescent="0.2">
      <c r="A577">
        <v>442</v>
      </c>
      <c r="B577">
        <v>570</v>
      </c>
      <c r="C577" t="s">
        <v>21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</row>
    <row r="578" spans="1:46" x14ac:dyDescent="0.2">
      <c r="A578">
        <v>441</v>
      </c>
      <c r="B578">
        <v>571</v>
      </c>
      <c r="C578" t="s">
        <v>21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46" x14ac:dyDescent="0.2">
      <c r="A579">
        <v>440</v>
      </c>
      <c r="B579">
        <v>572</v>
      </c>
      <c r="C579" t="s">
        <v>21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46" x14ac:dyDescent="0.2">
      <c r="A580">
        <v>439</v>
      </c>
      <c r="B580">
        <v>573</v>
      </c>
      <c r="C580" t="s">
        <v>21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46" x14ac:dyDescent="0.2">
      <c r="A581">
        <v>438</v>
      </c>
      <c r="B581">
        <v>574</v>
      </c>
      <c r="C581" t="s">
        <v>21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46" x14ac:dyDescent="0.2">
      <c r="A582">
        <v>437</v>
      </c>
      <c r="B582">
        <v>575</v>
      </c>
      <c r="C582" t="s">
        <v>21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1:46" x14ac:dyDescent="0.2">
      <c r="A583">
        <v>436</v>
      </c>
      <c r="B583">
        <v>576</v>
      </c>
      <c r="C583" t="s">
        <v>21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46" x14ac:dyDescent="0.2">
      <c r="A584">
        <v>435</v>
      </c>
      <c r="B584">
        <v>577</v>
      </c>
      <c r="C584" t="s">
        <v>21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46" x14ac:dyDescent="0.2">
      <c r="A585">
        <v>434</v>
      </c>
      <c r="B585">
        <v>578</v>
      </c>
      <c r="C585" t="s">
        <v>21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46" x14ac:dyDescent="0.2">
      <c r="A586">
        <v>433</v>
      </c>
      <c r="B586">
        <v>579</v>
      </c>
      <c r="C586" t="s">
        <v>21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1:46" x14ac:dyDescent="0.2">
      <c r="A587">
        <v>432</v>
      </c>
      <c r="B587">
        <v>580</v>
      </c>
      <c r="C587" t="s">
        <v>21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46" x14ac:dyDescent="0.2">
      <c r="A588">
        <v>431</v>
      </c>
      <c r="B588">
        <v>581</v>
      </c>
      <c r="C588" t="s">
        <v>21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</row>
    <row r="589" spans="1:46" x14ac:dyDescent="0.2">
      <c r="A589">
        <v>430</v>
      </c>
      <c r="B589">
        <v>582</v>
      </c>
      <c r="C589" t="s">
        <v>21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46" x14ac:dyDescent="0.2">
      <c r="A590">
        <v>429</v>
      </c>
      <c r="B590">
        <v>583</v>
      </c>
      <c r="C590" t="s">
        <v>21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46" x14ac:dyDescent="0.2">
      <c r="A591">
        <v>428</v>
      </c>
      <c r="B591">
        <v>584</v>
      </c>
      <c r="C591" t="s">
        <v>21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46" x14ac:dyDescent="0.2">
      <c r="A592">
        <v>427</v>
      </c>
      <c r="B592">
        <v>585</v>
      </c>
      <c r="C592" t="s">
        <v>21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46" x14ac:dyDescent="0.2">
      <c r="A593">
        <v>426</v>
      </c>
      <c r="B593">
        <v>586</v>
      </c>
      <c r="C593" t="s">
        <v>21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46" x14ac:dyDescent="0.2">
      <c r="A594">
        <v>425</v>
      </c>
      <c r="B594">
        <v>587</v>
      </c>
      <c r="C594" t="s">
        <v>21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46" x14ac:dyDescent="0.2">
      <c r="A595">
        <v>424</v>
      </c>
      <c r="B595">
        <v>588</v>
      </c>
      <c r="C595" t="s">
        <v>21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46" x14ac:dyDescent="0.2">
      <c r="A596">
        <v>423</v>
      </c>
      <c r="B596">
        <v>589</v>
      </c>
      <c r="C596" t="s">
        <v>21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46" x14ac:dyDescent="0.2">
      <c r="A597">
        <v>422</v>
      </c>
      <c r="B597">
        <v>590</v>
      </c>
      <c r="C597" t="s">
        <v>21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46" x14ac:dyDescent="0.2">
      <c r="A598">
        <v>421</v>
      </c>
      <c r="B598">
        <v>591</v>
      </c>
      <c r="C598" t="s">
        <v>21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46" x14ac:dyDescent="0.2">
      <c r="A599">
        <v>420</v>
      </c>
      <c r="B599">
        <v>592</v>
      </c>
      <c r="C599" t="s">
        <v>21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46" x14ac:dyDescent="0.2">
      <c r="A600">
        <v>419</v>
      </c>
      <c r="B600">
        <v>593</v>
      </c>
      <c r="C600" t="s">
        <v>21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46" x14ac:dyDescent="0.2">
      <c r="A601">
        <v>418</v>
      </c>
      <c r="B601">
        <v>594</v>
      </c>
      <c r="C601" t="s">
        <v>21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46" x14ac:dyDescent="0.2">
      <c r="A602">
        <v>417</v>
      </c>
      <c r="B602">
        <v>595</v>
      </c>
      <c r="C602" t="s">
        <v>21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46" x14ac:dyDescent="0.2">
      <c r="A603">
        <v>416</v>
      </c>
      <c r="B603">
        <v>596</v>
      </c>
      <c r="C603" t="s">
        <v>21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46" x14ac:dyDescent="0.2">
      <c r="A604">
        <v>415</v>
      </c>
      <c r="B604">
        <v>597</v>
      </c>
      <c r="C604" t="s">
        <v>21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46" x14ac:dyDescent="0.2">
      <c r="A605">
        <v>414</v>
      </c>
      <c r="B605">
        <v>598</v>
      </c>
      <c r="C605" t="s">
        <v>21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46" x14ac:dyDescent="0.2">
      <c r="A606">
        <v>413</v>
      </c>
      <c r="B606">
        <v>599</v>
      </c>
      <c r="C606" t="s">
        <v>21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1:46" x14ac:dyDescent="0.2">
      <c r="A607">
        <v>412</v>
      </c>
      <c r="B607">
        <v>600</v>
      </c>
      <c r="C607" t="s">
        <v>21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1:46" x14ac:dyDescent="0.2">
      <c r="A608">
        <v>411</v>
      </c>
      <c r="B608">
        <v>601</v>
      </c>
      <c r="C608" t="s">
        <v>21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</row>
    <row r="609" spans="1:46" x14ac:dyDescent="0.2">
      <c r="A609">
        <v>410</v>
      </c>
      <c r="B609">
        <v>602</v>
      </c>
      <c r="C609" t="s">
        <v>21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1:46" x14ac:dyDescent="0.2">
      <c r="A610">
        <v>409</v>
      </c>
      <c r="B610">
        <v>603</v>
      </c>
      <c r="C610" t="s">
        <v>21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46" x14ac:dyDescent="0.2">
      <c r="A611">
        <v>408</v>
      </c>
      <c r="B611">
        <v>604</v>
      </c>
      <c r="C611" t="s">
        <v>21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46" x14ac:dyDescent="0.2">
      <c r="A612">
        <v>407</v>
      </c>
      <c r="B612">
        <v>605</v>
      </c>
      <c r="C612" t="s">
        <v>21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46" x14ac:dyDescent="0.2">
      <c r="A613">
        <v>406</v>
      </c>
      <c r="B613">
        <v>606</v>
      </c>
      <c r="C613" t="s">
        <v>21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1:46" x14ac:dyDescent="0.2">
      <c r="A614">
        <v>405</v>
      </c>
      <c r="B614">
        <v>607</v>
      </c>
      <c r="C614" t="s">
        <v>21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1:46" x14ac:dyDescent="0.2">
      <c r="A615">
        <v>404</v>
      </c>
      <c r="B615">
        <v>608</v>
      </c>
      <c r="C615" t="s">
        <v>21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46" x14ac:dyDescent="0.2">
      <c r="A616">
        <v>403</v>
      </c>
      <c r="B616">
        <v>609</v>
      </c>
      <c r="C616" t="s">
        <v>21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46" x14ac:dyDescent="0.2">
      <c r="A617">
        <v>402</v>
      </c>
      <c r="B617">
        <v>610</v>
      </c>
      <c r="C617" t="s">
        <v>21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46" x14ac:dyDescent="0.2">
      <c r="A618">
        <v>401</v>
      </c>
      <c r="B618">
        <v>611</v>
      </c>
      <c r="C618" t="s">
        <v>21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46" x14ac:dyDescent="0.2">
      <c r="A619">
        <v>400</v>
      </c>
      <c r="B619">
        <v>612</v>
      </c>
      <c r="C619" t="s">
        <v>21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46" x14ac:dyDescent="0.2">
      <c r="A620">
        <v>399</v>
      </c>
      <c r="B620">
        <v>613</v>
      </c>
      <c r="C620" t="s">
        <v>21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46" x14ac:dyDescent="0.2">
      <c r="A621">
        <v>398</v>
      </c>
      <c r="B621">
        <v>614</v>
      </c>
      <c r="C621" t="s">
        <v>21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46" x14ac:dyDescent="0.2">
      <c r="A622">
        <v>397</v>
      </c>
      <c r="B622">
        <v>615</v>
      </c>
      <c r="C622" t="s">
        <v>21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46" x14ac:dyDescent="0.2">
      <c r="A623">
        <v>396</v>
      </c>
      <c r="B623">
        <v>616</v>
      </c>
      <c r="C623" t="s">
        <v>21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46" x14ac:dyDescent="0.2">
      <c r="A624">
        <v>395</v>
      </c>
      <c r="B624">
        <v>617</v>
      </c>
      <c r="C624" t="s">
        <v>21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46" x14ac:dyDescent="0.2">
      <c r="A625">
        <v>394</v>
      </c>
      <c r="B625">
        <v>618</v>
      </c>
      <c r="C625" t="s">
        <v>21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46" x14ac:dyDescent="0.2">
      <c r="A626">
        <v>393</v>
      </c>
      <c r="B626">
        <v>619</v>
      </c>
      <c r="C626" t="s">
        <v>21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46" x14ac:dyDescent="0.2">
      <c r="A627">
        <v>392</v>
      </c>
      <c r="B627">
        <v>620</v>
      </c>
      <c r="C627" t="s">
        <v>21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46" x14ac:dyDescent="0.2">
      <c r="A628">
        <v>391</v>
      </c>
      <c r="B628">
        <v>621</v>
      </c>
      <c r="C628" t="s">
        <v>21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46" x14ac:dyDescent="0.2">
      <c r="A629">
        <v>390</v>
      </c>
      <c r="B629">
        <v>622</v>
      </c>
      <c r="C629" t="s">
        <v>21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46" x14ac:dyDescent="0.2">
      <c r="A630">
        <v>389</v>
      </c>
      <c r="B630">
        <v>623</v>
      </c>
      <c r="C630" t="s">
        <v>21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46" x14ac:dyDescent="0.2">
      <c r="A631">
        <v>388</v>
      </c>
      <c r="B631">
        <v>624</v>
      </c>
      <c r="C631" t="s">
        <v>21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46" x14ac:dyDescent="0.2">
      <c r="A632">
        <v>387</v>
      </c>
      <c r="B632">
        <v>625</v>
      </c>
      <c r="C632" t="s">
        <v>21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46" x14ac:dyDescent="0.2">
      <c r="A633">
        <v>386</v>
      </c>
      <c r="B633">
        <v>626</v>
      </c>
      <c r="C633" t="s">
        <v>21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46" x14ac:dyDescent="0.2">
      <c r="A634">
        <v>385</v>
      </c>
      <c r="B634">
        <v>627</v>
      </c>
      <c r="C634" t="s">
        <v>21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46" x14ac:dyDescent="0.2">
      <c r="A635">
        <v>384</v>
      </c>
      <c r="B635">
        <v>628</v>
      </c>
      <c r="C635" t="s">
        <v>21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46" x14ac:dyDescent="0.2">
      <c r="A636">
        <v>383</v>
      </c>
      <c r="B636">
        <v>629</v>
      </c>
      <c r="C636" t="s">
        <v>21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46" x14ac:dyDescent="0.2">
      <c r="A637">
        <v>382</v>
      </c>
      <c r="B637">
        <v>630</v>
      </c>
      <c r="C637" t="s">
        <v>21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46" x14ac:dyDescent="0.2">
      <c r="A638">
        <v>381</v>
      </c>
      <c r="B638">
        <v>631</v>
      </c>
      <c r="C638" t="s">
        <v>21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46" x14ac:dyDescent="0.2">
      <c r="A639">
        <v>380</v>
      </c>
      <c r="B639">
        <v>632</v>
      </c>
      <c r="C639" t="s">
        <v>21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46" x14ac:dyDescent="0.2">
      <c r="A640">
        <v>379</v>
      </c>
      <c r="B640">
        <v>633</v>
      </c>
      <c r="C640" t="s">
        <v>21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46" x14ac:dyDescent="0.2">
      <c r="A641">
        <v>378</v>
      </c>
      <c r="B641">
        <v>634</v>
      </c>
      <c r="C641" t="s">
        <v>21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1:46" x14ac:dyDescent="0.2">
      <c r="A642">
        <v>377</v>
      </c>
      <c r="B642">
        <v>635</v>
      </c>
      <c r="C642" t="s">
        <v>21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46" x14ac:dyDescent="0.2">
      <c r="A643">
        <v>376</v>
      </c>
      <c r="B643">
        <v>636</v>
      </c>
      <c r="C643" t="s">
        <v>21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46" x14ac:dyDescent="0.2">
      <c r="A644">
        <v>375</v>
      </c>
      <c r="B644">
        <v>637</v>
      </c>
      <c r="C644" t="s">
        <v>21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46" x14ac:dyDescent="0.2">
      <c r="A645">
        <v>374</v>
      </c>
      <c r="B645">
        <v>638</v>
      </c>
      <c r="C645" t="s">
        <v>21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46" x14ac:dyDescent="0.2">
      <c r="A646">
        <v>373</v>
      </c>
      <c r="B646">
        <v>639</v>
      </c>
      <c r="C646" t="s">
        <v>21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46" x14ac:dyDescent="0.2">
      <c r="A647">
        <v>372</v>
      </c>
      <c r="B647">
        <v>640</v>
      </c>
      <c r="C647" t="s">
        <v>21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46" x14ac:dyDescent="0.2">
      <c r="A648">
        <v>371</v>
      </c>
      <c r="B648">
        <v>641</v>
      </c>
      <c r="C648" t="s">
        <v>21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46" x14ac:dyDescent="0.2">
      <c r="A649">
        <v>370</v>
      </c>
      <c r="B649">
        <v>642</v>
      </c>
      <c r="C649" t="s">
        <v>21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46" x14ac:dyDescent="0.2">
      <c r="A650">
        <v>369</v>
      </c>
      <c r="B650">
        <v>643</v>
      </c>
      <c r="C650" t="s">
        <v>21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46" x14ac:dyDescent="0.2">
      <c r="A651">
        <v>368</v>
      </c>
      <c r="B651">
        <v>644</v>
      </c>
      <c r="C651" t="s">
        <v>21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46" x14ac:dyDescent="0.2">
      <c r="A652">
        <v>367</v>
      </c>
      <c r="B652">
        <v>645</v>
      </c>
      <c r="C652" t="s">
        <v>21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46" x14ac:dyDescent="0.2">
      <c r="A653">
        <v>366</v>
      </c>
      <c r="B653">
        <v>646</v>
      </c>
      <c r="C653" t="s">
        <v>21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46" x14ac:dyDescent="0.2">
      <c r="A654">
        <v>365</v>
      </c>
      <c r="B654">
        <v>647</v>
      </c>
      <c r="C654" t="s">
        <v>21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46" x14ac:dyDescent="0.2">
      <c r="A655">
        <v>364</v>
      </c>
      <c r="B655">
        <v>648</v>
      </c>
      <c r="C655" t="s">
        <v>21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46" x14ac:dyDescent="0.2">
      <c r="A656">
        <v>363</v>
      </c>
      <c r="B656">
        <v>649</v>
      </c>
      <c r="C656" t="s">
        <v>21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46" x14ac:dyDescent="0.2">
      <c r="A657">
        <v>362</v>
      </c>
      <c r="B657">
        <v>650</v>
      </c>
      <c r="C657" t="s">
        <v>21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46" x14ac:dyDescent="0.2">
      <c r="A658">
        <v>361</v>
      </c>
      <c r="B658">
        <v>651</v>
      </c>
      <c r="C658" t="s">
        <v>21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46" x14ac:dyDescent="0.2">
      <c r="A659">
        <v>360</v>
      </c>
      <c r="B659">
        <v>652</v>
      </c>
      <c r="C659" t="s">
        <v>21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46" x14ac:dyDescent="0.2">
      <c r="A660">
        <v>359</v>
      </c>
      <c r="B660">
        <v>653</v>
      </c>
      <c r="C660" t="s">
        <v>21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46" x14ac:dyDescent="0.2">
      <c r="A661">
        <v>358</v>
      </c>
      <c r="B661">
        <v>654</v>
      </c>
      <c r="C661" t="s">
        <v>21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46" x14ac:dyDescent="0.2">
      <c r="A662">
        <v>357</v>
      </c>
      <c r="B662">
        <v>655</v>
      </c>
      <c r="C662" t="s">
        <v>21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46" x14ac:dyDescent="0.2">
      <c r="A663">
        <v>356</v>
      </c>
      <c r="B663">
        <v>656</v>
      </c>
      <c r="C663" t="s">
        <v>21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46" x14ac:dyDescent="0.2">
      <c r="A664">
        <v>355</v>
      </c>
      <c r="B664">
        <v>657</v>
      </c>
      <c r="C664" t="s">
        <v>21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46" x14ac:dyDescent="0.2">
      <c r="A665">
        <v>354</v>
      </c>
      <c r="B665">
        <v>658</v>
      </c>
      <c r="C665" t="s">
        <v>21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46" x14ac:dyDescent="0.2">
      <c r="A666">
        <v>353</v>
      </c>
      <c r="B666">
        <v>659</v>
      </c>
      <c r="C666" t="s">
        <v>21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46" x14ac:dyDescent="0.2">
      <c r="A667">
        <v>352</v>
      </c>
      <c r="B667">
        <v>660</v>
      </c>
      <c r="C667" t="s">
        <v>21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 spans="1:46" x14ac:dyDescent="0.2">
      <c r="A668">
        <v>351</v>
      </c>
      <c r="B668">
        <v>661</v>
      </c>
      <c r="C668" t="s">
        <v>21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46" x14ac:dyDescent="0.2">
      <c r="A669">
        <v>350</v>
      </c>
      <c r="B669">
        <v>662</v>
      </c>
      <c r="C669" t="s">
        <v>21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46" x14ac:dyDescent="0.2">
      <c r="A670">
        <v>349</v>
      </c>
      <c r="B670">
        <v>663</v>
      </c>
      <c r="C670" t="s">
        <v>21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46" x14ac:dyDescent="0.2">
      <c r="A671">
        <v>348</v>
      </c>
      <c r="B671">
        <v>664</v>
      </c>
      <c r="C671" t="s">
        <v>21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46" x14ac:dyDescent="0.2">
      <c r="A672">
        <v>347</v>
      </c>
      <c r="B672">
        <v>665</v>
      </c>
      <c r="C672" t="s">
        <v>21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46" x14ac:dyDescent="0.2">
      <c r="A673">
        <v>346</v>
      </c>
      <c r="B673">
        <v>666</v>
      </c>
      <c r="C673" t="s">
        <v>21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46" x14ac:dyDescent="0.2">
      <c r="A674">
        <v>345</v>
      </c>
      <c r="B674">
        <v>667</v>
      </c>
      <c r="C674" t="s">
        <v>21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46" x14ac:dyDescent="0.2">
      <c r="A675">
        <v>344</v>
      </c>
      <c r="B675">
        <v>668</v>
      </c>
      <c r="C675" t="s">
        <v>21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46" x14ac:dyDescent="0.2">
      <c r="A676">
        <v>343</v>
      </c>
      <c r="B676">
        <v>669</v>
      </c>
      <c r="C676" t="s">
        <v>21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46" x14ac:dyDescent="0.2">
      <c r="A677">
        <v>342</v>
      </c>
      <c r="B677">
        <v>670</v>
      </c>
      <c r="C677" t="s">
        <v>21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46" x14ac:dyDescent="0.2">
      <c r="A678">
        <v>341</v>
      </c>
      <c r="B678">
        <v>671</v>
      </c>
      <c r="C678" t="s">
        <v>21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46" x14ac:dyDescent="0.2">
      <c r="A679">
        <v>340</v>
      </c>
      <c r="B679">
        <v>672</v>
      </c>
      <c r="C679" t="s">
        <v>21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46" x14ac:dyDescent="0.2">
      <c r="A680">
        <v>339</v>
      </c>
      <c r="B680">
        <v>673</v>
      </c>
      <c r="C680" t="s">
        <v>21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46" x14ac:dyDescent="0.2">
      <c r="A681">
        <v>338</v>
      </c>
      <c r="B681">
        <v>674</v>
      </c>
      <c r="C681" t="s">
        <v>21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46" x14ac:dyDescent="0.2">
      <c r="A682">
        <v>337</v>
      </c>
      <c r="B682">
        <v>675</v>
      </c>
      <c r="C682" t="s">
        <v>21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46" x14ac:dyDescent="0.2">
      <c r="A683">
        <v>336</v>
      </c>
      <c r="B683">
        <v>676</v>
      </c>
      <c r="C683" t="s">
        <v>21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46" x14ac:dyDescent="0.2">
      <c r="A684">
        <v>335</v>
      </c>
      <c r="B684">
        <v>677</v>
      </c>
      <c r="C684" t="s">
        <v>21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46" x14ac:dyDescent="0.2">
      <c r="A685">
        <v>334</v>
      </c>
      <c r="B685">
        <v>678</v>
      </c>
      <c r="C685" t="s">
        <v>21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</row>
    <row r="686" spans="1:46" x14ac:dyDescent="0.2">
      <c r="A686">
        <v>333</v>
      </c>
      <c r="B686">
        <v>679</v>
      </c>
      <c r="C686" t="s">
        <v>21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46" x14ac:dyDescent="0.2">
      <c r="A687">
        <v>332</v>
      </c>
      <c r="B687">
        <v>680</v>
      </c>
      <c r="C687" t="s">
        <v>21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46" x14ac:dyDescent="0.2">
      <c r="A688">
        <v>331</v>
      </c>
      <c r="B688">
        <v>681</v>
      </c>
      <c r="C688" t="s">
        <v>21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46" x14ac:dyDescent="0.2">
      <c r="A689">
        <v>330</v>
      </c>
      <c r="B689">
        <v>682</v>
      </c>
      <c r="C689" t="s">
        <v>21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 x14ac:dyDescent="0.2">
      <c r="A690">
        <v>329</v>
      </c>
      <c r="B690">
        <v>683</v>
      </c>
      <c r="C690" t="s">
        <v>21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46" x14ac:dyDescent="0.2">
      <c r="A691">
        <v>328</v>
      </c>
      <c r="B691">
        <v>684</v>
      </c>
      <c r="C691" t="s">
        <v>21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46" x14ac:dyDescent="0.2">
      <c r="A692">
        <v>327</v>
      </c>
      <c r="B692">
        <v>685</v>
      </c>
      <c r="C692" t="s">
        <v>21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46" x14ac:dyDescent="0.2">
      <c r="A693">
        <v>326</v>
      </c>
      <c r="B693">
        <v>686</v>
      </c>
      <c r="C693" t="s">
        <v>21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46" x14ac:dyDescent="0.2">
      <c r="A694">
        <v>325</v>
      </c>
      <c r="B694">
        <v>687</v>
      </c>
      <c r="C694" t="s">
        <v>21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46" x14ac:dyDescent="0.2">
      <c r="A695">
        <v>324</v>
      </c>
      <c r="B695">
        <v>688</v>
      </c>
      <c r="C695" t="s">
        <v>21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 spans="1:46" x14ac:dyDescent="0.2">
      <c r="A696">
        <v>323</v>
      </c>
      <c r="B696">
        <v>689</v>
      </c>
      <c r="C696" t="s">
        <v>21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46" x14ac:dyDescent="0.2">
      <c r="A697">
        <v>322</v>
      </c>
      <c r="B697">
        <v>690</v>
      </c>
      <c r="C697" t="s">
        <v>21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</row>
    <row r="698" spans="1:46" x14ac:dyDescent="0.2">
      <c r="A698">
        <v>321</v>
      </c>
      <c r="B698">
        <v>691</v>
      </c>
      <c r="C698" t="s">
        <v>21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</row>
    <row r="699" spans="1:46" x14ac:dyDescent="0.2">
      <c r="A699">
        <v>320</v>
      </c>
      <c r="B699">
        <v>692</v>
      </c>
      <c r="C699" t="s">
        <v>21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46" x14ac:dyDescent="0.2">
      <c r="A700">
        <v>319</v>
      </c>
      <c r="B700">
        <v>693</v>
      </c>
      <c r="C700" t="s">
        <v>21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46" x14ac:dyDescent="0.2">
      <c r="A701">
        <v>318</v>
      </c>
      <c r="B701">
        <v>694</v>
      </c>
      <c r="C701" t="s">
        <v>21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46" x14ac:dyDescent="0.2">
      <c r="A702">
        <v>317</v>
      </c>
      <c r="B702">
        <v>695</v>
      </c>
      <c r="C702" t="s">
        <v>21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</row>
    <row r="703" spans="1:46" x14ac:dyDescent="0.2">
      <c r="A703">
        <v>316</v>
      </c>
      <c r="B703">
        <v>696</v>
      </c>
      <c r="C703" t="s">
        <v>21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46" x14ac:dyDescent="0.2">
      <c r="A704">
        <v>315</v>
      </c>
      <c r="B704">
        <v>697</v>
      </c>
      <c r="C704" t="s">
        <v>21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</row>
    <row r="705" spans="1:46" x14ac:dyDescent="0.2">
      <c r="A705">
        <v>314</v>
      </c>
      <c r="B705">
        <v>698</v>
      </c>
      <c r="C705" t="s">
        <v>21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46" x14ac:dyDescent="0.2">
      <c r="A706">
        <v>313</v>
      </c>
      <c r="B706">
        <v>699</v>
      </c>
      <c r="C706" t="s">
        <v>21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46" x14ac:dyDescent="0.2">
      <c r="A707">
        <v>312</v>
      </c>
      <c r="B707">
        <v>700</v>
      </c>
      <c r="C707" t="s">
        <v>21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46" x14ac:dyDescent="0.2">
      <c r="A708">
        <v>311</v>
      </c>
      <c r="B708">
        <v>701</v>
      </c>
      <c r="C708" t="s">
        <v>21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 spans="1:46" x14ac:dyDescent="0.2">
      <c r="A709">
        <v>310</v>
      </c>
      <c r="B709">
        <v>702</v>
      </c>
      <c r="C709" t="s">
        <v>21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</row>
    <row r="710" spans="1:46" x14ac:dyDescent="0.2">
      <c r="A710">
        <v>309</v>
      </c>
      <c r="B710">
        <v>703</v>
      </c>
      <c r="C710" t="s">
        <v>21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 spans="1:46" x14ac:dyDescent="0.2">
      <c r="A711">
        <v>308</v>
      </c>
      <c r="B711">
        <v>704</v>
      </c>
      <c r="C711" t="s">
        <v>21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46" x14ac:dyDescent="0.2">
      <c r="A712">
        <v>307</v>
      </c>
      <c r="B712">
        <v>705</v>
      </c>
      <c r="C712" t="s">
        <v>21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</row>
    <row r="713" spans="1:46" x14ac:dyDescent="0.2">
      <c r="A713">
        <v>306</v>
      </c>
      <c r="B713">
        <v>706</v>
      </c>
      <c r="C713" t="s">
        <v>21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46" x14ac:dyDescent="0.2">
      <c r="A714">
        <v>305</v>
      </c>
      <c r="B714">
        <v>707</v>
      </c>
      <c r="C714" t="s">
        <v>21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46" x14ac:dyDescent="0.2">
      <c r="A715">
        <v>304</v>
      </c>
      <c r="B715">
        <v>708</v>
      </c>
      <c r="C715" t="s">
        <v>21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</row>
    <row r="716" spans="1:46" x14ac:dyDescent="0.2">
      <c r="A716">
        <v>303</v>
      </c>
      <c r="B716">
        <v>709</v>
      </c>
      <c r="C716" t="s">
        <v>21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</row>
    <row r="717" spans="1:46" x14ac:dyDescent="0.2">
      <c r="A717">
        <v>302</v>
      </c>
      <c r="B717">
        <v>710</v>
      </c>
      <c r="C717" t="s">
        <v>21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46" x14ac:dyDescent="0.2">
      <c r="A718">
        <v>301</v>
      </c>
      <c r="B718">
        <v>711</v>
      </c>
      <c r="C718" t="s">
        <v>21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46" x14ac:dyDescent="0.2">
      <c r="A719">
        <v>300</v>
      </c>
      <c r="B719">
        <v>712</v>
      </c>
      <c r="C719" t="s">
        <v>21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46" x14ac:dyDescent="0.2">
      <c r="A720">
        <v>299</v>
      </c>
      <c r="B720">
        <v>713</v>
      </c>
      <c r="C720" t="s">
        <v>21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46" x14ac:dyDescent="0.2">
      <c r="A721">
        <v>298</v>
      </c>
      <c r="B721">
        <v>714</v>
      </c>
      <c r="C721" t="s">
        <v>21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46" x14ac:dyDescent="0.2">
      <c r="A722">
        <v>297</v>
      </c>
      <c r="B722">
        <v>715</v>
      </c>
      <c r="C722" t="s">
        <v>21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</row>
    <row r="723" spans="1:46" x14ac:dyDescent="0.2">
      <c r="A723">
        <v>296</v>
      </c>
      <c r="B723">
        <v>716</v>
      </c>
      <c r="C723" t="s">
        <v>21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46" x14ac:dyDescent="0.2">
      <c r="A724">
        <v>295</v>
      </c>
      <c r="B724">
        <v>717</v>
      </c>
      <c r="C724" t="s">
        <v>21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</row>
    <row r="725" spans="1:46" x14ac:dyDescent="0.2">
      <c r="A725">
        <v>294</v>
      </c>
      <c r="B725">
        <v>718</v>
      </c>
      <c r="C725" t="s">
        <v>21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46" x14ac:dyDescent="0.2">
      <c r="A726">
        <v>293</v>
      </c>
      <c r="B726">
        <v>719</v>
      </c>
      <c r="C726" t="s">
        <v>21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</row>
    <row r="727" spans="1:46" x14ac:dyDescent="0.2">
      <c r="A727">
        <v>292</v>
      </c>
      <c r="B727">
        <v>720</v>
      </c>
      <c r="C727" t="s">
        <v>21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</row>
    <row r="728" spans="1:46" x14ac:dyDescent="0.2">
      <c r="A728">
        <v>291</v>
      </c>
      <c r="B728">
        <v>721</v>
      </c>
      <c r="C728" t="s">
        <v>21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 spans="1:46" x14ac:dyDescent="0.2">
      <c r="A729">
        <v>290</v>
      </c>
      <c r="B729">
        <v>722</v>
      </c>
      <c r="C729" t="s">
        <v>21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</row>
    <row r="730" spans="1:46" x14ac:dyDescent="0.2">
      <c r="A730">
        <v>289</v>
      </c>
      <c r="B730">
        <v>723</v>
      </c>
      <c r="C730" t="s">
        <v>21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</row>
    <row r="731" spans="1:46" x14ac:dyDescent="0.2">
      <c r="A731">
        <v>288</v>
      </c>
      <c r="B731">
        <v>724</v>
      </c>
      <c r="C731" t="s">
        <v>21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 spans="1:46" x14ac:dyDescent="0.2">
      <c r="A732">
        <v>287</v>
      </c>
      <c r="B732">
        <v>725</v>
      </c>
      <c r="C732" t="s">
        <v>21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 spans="1:46" x14ac:dyDescent="0.2">
      <c r="A733">
        <v>286</v>
      </c>
      <c r="B733">
        <v>726</v>
      </c>
      <c r="C733" t="s">
        <v>21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46" x14ac:dyDescent="0.2">
      <c r="A734">
        <v>285</v>
      </c>
      <c r="B734">
        <v>727</v>
      </c>
      <c r="C734" t="s">
        <v>21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46" x14ac:dyDescent="0.2">
      <c r="A735">
        <v>284</v>
      </c>
      <c r="B735">
        <v>728</v>
      </c>
      <c r="C735" t="s">
        <v>21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46" x14ac:dyDescent="0.2">
      <c r="A736">
        <v>283</v>
      </c>
      <c r="B736">
        <v>729</v>
      </c>
      <c r="C736" t="s">
        <v>21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46" x14ac:dyDescent="0.2">
      <c r="A737">
        <v>282</v>
      </c>
      <c r="B737">
        <v>730</v>
      </c>
      <c r="C737" t="s">
        <v>21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</row>
    <row r="738" spans="1:46" x14ac:dyDescent="0.2">
      <c r="A738">
        <v>281</v>
      </c>
      <c r="B738">
        <v>731</v>
      </c>
      <c r="C738" t="s">
        <v>21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46" x14ac:dyDescent="0.2">
      <c r="A739">
        <v>280</v>
      </c>
      <c r="B739">
        <v>732</v>
      </c>
      <c r="C739" t="s">
        <v>21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46" x14ac:dyDescent="0.2">
      <c r="A740">
        <v>279</v>
      </c>
      <c r="B740">
        <v>733</v>
      </c>
      <c r="C740" t="s">
        <v>21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46" x14ac:dyDescent="0.2">
      <c r="A741">
        <v>278</v>
      </c>
      <c r="B741">
        <v>734</v>
      </c>
      <c r="C741" t="s">
        <v>21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46" x14ac:dyDescent="0.2">
      <c r="A742">
        <v>277</v>
      </c>
      <c r="B742">
        <v>735</v>
      </c>
      <c r="C742" t="s">
        <v>21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46" x14ac:dyDescent="0.2">
      <c r="A743">
        <v>276</v>
      </c>
      <c r="B743">
        <v>736</v>
      </c>
      <c r="C743" t="s">
        <v>21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</row>
    <row r="744" spans="1:46" x14ac:dyDescent="0.2">
      <c r="A744">
        <v>275</v>
      </c>
      <c r="B744">
        <v>737</v>
      </c>
      <c r="C744" t="s">
        <v>21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46" x14ac:dyDescent="0.2">
      <c r="A745">
        <v>274</v>
      </c>
      <c r="B745">
        <v>738</v>
      </c>
      <c r="C745" t="s">
        <v>21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46" x14ac:dyDescent="0.2">
      <c r="A746">
        <v>273</v>
      </c>
      <c r="B746">
        <v>739</v>
      </c>
      <c r="C746" t="s">
        <v>21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46" x14ac:dyDescent="0.2">
      <c r="A747">
        <v>272</v>
      </c>
      <c r="B747">
        <v>740</v>
      </c>
      <c r="C747" t="s">
        <v>21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</row>
    <row r="748" spans="1:46" x14ac:dyDescent="0.2">
      <c r="A748">
        <v>271</v>
      </c>
      <c r="B748">
        <v>741</v>
      </c>
      <c r="C748" t="s">
        <v>21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</row>
    <row r="749" spans="1:46" x14ac:dyDescent="0.2">
      <c r="A749">
        <v>270</v>
      </c>
      <c r="B749">
        <v>742</v>
      </c>
      <c r="C749" t="s">
        <v>21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 spans="1:46" x14ac:dyDescent="0.2">
      <c r="A750">
        <v>269</v>
      </c>
      <c r="B750">
        <v>743</v>
      </c>
      <c r="C750" t="s">
        <v>21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</row>
    <row r="751" spans="1:46" x14ac:dyDescent="0.2">
      <c r="A751">
        <v>268</v>
      </c>
      <c r="B751">
        <v>744</v>
      </c>
      <c r="C751" t="s">
        <v>21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</row>
    <row r="752" spans="1:46" x14ac:dyDescent="0.2">
      <c r="A752">
        <v>267</v>
      </c>
      <c r="B752">
        <v>745</v>
      </c>
      <c r="C752" t="s">
        <v>21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46" x14ac:dyDescent="0.2">
      <c r="A753">
        <v>266</v>
      </c>
      <c r="B753">
        <v>746</v>
      </c>
      <c r="C753" t="s">
        <v>21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46" x14ac:dyDescent="0.2">
      <c r="A754">
        <v>265</v>
      </c>
      <c r="B754">
        <v>747</v>
      </c>
      <c r="C754" t="s">
        <v>21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46" x14ac:dyDescent="0.2">
      <c r="A755">
        <v>264</v>
      </c>
      <c r="B755">
        <v>748</v>
      </c>
      <c r="C755" t="s">
        <v>21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46" x14ac:dyDescent="0.2">
      <c r="A756">
        <v>263</v>
      </c>
      <c r="B756">
        <v>749</v>
      </c>
      <c r="C756" t="s">
        <v>21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</row>
    <row r="757" spans="1:46" x14ac:dyDescent="0.2">
      <c r="A757">
        <v>262</v>
      </c>
      <c r="B757">
        <v>750</v>
      </c>
      <c r="C757" t="s">
        <v>21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</row>
    <row r="758" spans="1:46" x14ac:dyDescent="0.2">
      <c r="A758">
        <v>261</v>
      </c>
      <c r="B758">
        <v>751</v>
      </c>
      <c r="C758" t="s">
        <v>21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</row>
    <row r="759" spans="1:46" x14ac:dyDescent="0.2">
      <c r="A759">
        <v>260</v>
      </c>
      <c r="B759">
        <v>752</v>
      </c>
      <c r="C759" t="s">
        <v>21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46" x14ac:dyDescent="0.2">
      <c r="A760">
        <v>259</v>
      </c>
      <c r="B760">
        <v>753</v>
      </c>
      <c r="C760" t="s">
        <v>21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46" x14ac:dyDescent="0.2">
      <c r="A761">
        <v>258</v>
      </c>
      <c r="B761">
        <v>754</v>
      </c>
      <c r="C761" t="s">
        <v>21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46" x14ac:dyDescent="0.2">
      <c r="A762">
        <v>257</v>
      </c>
      <c r="B762">
        <v>755</v>
      </c>
      <c r="C762" t="s">
        <v>21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 spans="1:46" x14ac:dyDescent="0.2">
      <c r="A763">
        <v>256</v>
      </c>
      <c r="B763">
        <v>756</v>
      </c>
      <c r="C763" t="s">
        <v>21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</row>
    <row r="764" spans="1:46" x14ac:dyDescent="0.2">
      <c r="A764">
        <v>255</v>
      </c>
      <c r="B764">
        <v>757</v>
      </c>
      <c r="C764" t="s">
        <v>21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46" x14ac:dyDescent="0.2">
      <c r="A765">
        <v>254</v>
      </c>
      <c r="B765">
        <v>758</v>
      </c>
      <c r="C765" t="s">
        <v>21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</row>
    <row r="766" spans="1:46" x14ac:dyDescent="0.2">
      <c r="A766">
        <v>253</v>
      </c>
      <c r="B766">
        <v>759</v>
      </c>
      <c r="C766" t="s">
        <v>21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</row>
    <row r="767" spans="1:46" x14ac:dyDescent="0.2">
      <c r="A767">
        <v>252</v>
      </c>
      <c r="B767">
        <v>760</v>
      </c>
      <c r="C767" t="s">
        <v>21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46" x14ac:dyDescent="0.2">
      <c r="A768">
        <v>251</v>
      </c>
      <c r="B768">
        <v>761</v>
      </c>
      <c r="C768" t="s">
        <v>21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</row>
    <row r="769" spans="1:46" x14ac:dyDescent="0.2">
      <c r="A769">
        <v>250</v>
      </c>
      <c r="B769">
        <v>762</v>
      </c>
      <c r="C769" t="s">
        <v>21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</row>
    <row r="770" spans="1:46" x14ac:dyDescent="0.2">
      <c r="A770">
        <v>249</v>
      </c>
      <c r="B770">
        <v>763</v>
      </c>
      <c r="C770" t="s">
        <v>21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 spans="1:46" x14ac:dyDescent="0.2">
      <c r="A771">
        <v>248</v>
      </c>
      <c r="B771">
        <v>764</v>
      </c>
      <c r="C771" t="s">
        <v>21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46" x14ac:dyDescent="0.2">
      <c r="A772">
        <v>247</v>
      </c>
      <c r="B772">
        <v>765</v>
      </c>
      <c r="C772" t="s">
        <v>21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</row>
    <row r="773" spans="1:46" x14ac:dyDescent="0.2">
      <c r="A773">
        <v>246</v>
      </c>
      <c r="B773">
        <v>766</v>
      </c>
      <c r="C773" t="s">
        <v>21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</row>
    <row r="774" spans="1:46" x14ac:dyDescent="0.2">
      <c r="A774">
        <v>245</v>
      </c>
      <c r="B774">
        <v>767</v>
      </c>
      <c r="C774" t="s">
        <v>21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</row>
    <row r="775" spans="1:46" x14ac:dyDescent="0.2">
      <c r="A775">
        <v>244</v>
      </c>
      <c r="B775">
        <v>768</v>
      </c>
      <c r="C775" t="s">
        <v>21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</row>
    <row r="776" spans="1:46" x14ac:dyDescent="0.2">
      <c r="A776">
        <v>243</v>
      </c>
      <c r="B776">
        <v>769</v>
      </c>
      <c r="C776" t="s">
        <v>21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</row>
    <row r="777" spans="1:46" x14ac:dyDescent="0.2">
      <c r="A777">
        <v>242</v>
      </c>
      <c r="B777">
        <v>770</v>
      </c>
      <c r="C777" t="s">
        <v>21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</row>
    <row r="778" spans="1:46" x14ac:dyDescent="0.2">
      <c r="A778">
        <v>241</v>
      </c>
      <c r="B778">
        <v>771</v>
      </c>
      <c r="C778" t="s">
        <v>21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</row>
    <row r="779" spans="1:46" x14ac:dyDescent="0.2">
      <c r="A779">
        <v>240</v>
      </c>
      <c r="B779">
        <v>772</v>
      </c>
      <c r="C779" t="s">
        <v>21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</row>
    <row r="780" spans="1:46" x14ac:dyDescent="0.2">
      <c r="A780">
        <v>239</v>
      </c>
      <c r="B780">
        <v>773</v>
      </c>
      <c r="C780" t="s">
        <v>21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46" x14ac:dyDescent="0.2">
      <c r="A781">
        <v>238</v>
      </c>
      <c r="B781">
        <v>774</v>
      </c>
      <c r="C781" t="s">
        <v>21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46" x14ac:dyDescent="0.2">
      <c r="A782">
        <v>237</v>
      </c>
      <c r="B782">
        <v>775</v>
      </c>
      <c r="C782" t="s">
        <v>21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46" x14ac:dyDescent="0.2">
      <c r="A783">
        <v>236</v>
      </c>
      <c r="B783">
        <v>776</v>
      </c>
      <c r="C783" t="s">
        <v>21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</row>
    <row r="784" spans="1:46" x14ac:dyDescent="0.2">
      <c r="A784">
        <v>235</v>
      </c>
      <c r="B784">
        <v>777</v>
      </c>
      <c r="C784" t="s">
        <v>21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46" x14ac:dyDescent="0.2">
      <c r="A785">
        <v>234</v>
      </c>
      <c r="B785">
        <v>778</v>
      </c>
      <c r="C785" t="s">
        <v>21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46" x14ac:dyDescent="0.2">
      <c r="A786">
        <v>233</v>
      </c>
      <c r="B786">
        <v>779</v>
      </c>
      <c r="C786" t="s">
        <v>21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46" x14ac:dyDescent="0.2">
      <c r="A787">
        <v>232</v>
      </c>
      <c r="B787">
        <v>780</v>
      </c>
      <c r="C787" t="s">
        <v>21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</row>
    <row r="788" spans="1:46" x14ac:dyDescent="0.2">
      <c r="A788">
        <v>231</v>
      </c>
      <c r="B788">
        <v>781</v>
      </c>
      <c r="C788" t="s">
        <v>21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</row>
    <row r="789" spans="1:46" x14ac:dyDescent="0.2">
      <c r="A789">
        <v>230</v>
      </c>
      <c r="B789">
        <v>782</v>
      </c>
      <c r="C789" t="s">
        <v>21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46" x14ac:dyDescent="0.2">
      <c r="A790">
        <v>229</v>
      </c>
      <c r="B790">
        <v>783</v>
      </c>
      <c r="C790" t="s">
        <v>21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</row>
    <row r="791" spans="1:46" x14ac:dyDescent="0.2">
      <c r="A791">
        <v>228</v>
      </c>
      <c r="B791">
        <v>784</v>
      </c>
      <c r="C791" t="s">
        <v>21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</row>
    <row r="792" spans="1:46" x14ac:dyDescent="0.2">
      <c r="A792">
        <v>227</v>
      </c>
      <c r="B792">
        <v>785</v>
      </c>
      <c r="C792" t="s">
        <v>21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46" x14ac:dyDescent="0.2">
      <c r="A793">
        <v>226</v>
      </c>
      <c r="B793">
        <v>786</v>
      </c>
      <c r="C793" t="s">
        <v>21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</row>
    <row r="794" spans="1:46" x14ac:dyDescent="0.2">
      <c r="A794">
        <v>225</v>
      </c>
      <c r="B794">
        <v>787</v>
      </c>
      <c r="C794" t="s">
        <v>21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</row>
    <row r="795" spans="1:46" x14ac:dyDescent="0.2">
      <c r="A795">
        <v>224</v>
      </c>
      <c r="B795">
        <v>788</v>
      </c>
      <c r="C795" t="s">
        <v>21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</row>
    <row r="796" spans="1:46" x14ac:dyDescent="0.2">
      <c r="A796">
        <v>223</v>
      </c>
      <c r="B796">
        <v>789</v>
      </c>
      <c r="C796" t="s">
        <v>21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</row>
    <row r="797" spans="1:46" x14ac:dyDescent="0.2">
      <c r="A797">
        <v>222</v>
      </c>
      <c r="B797">
        <v>790</v>
      </c>
      <c r="C797" t="s">
        <v>21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</row>
    <row r="798" spans="1:46" x14ac:dyDescent="0.2">
      <c r="A798">
        <v>221</v>
      </c>
      <c r="B798">
        <v>791</v>
      </c>
      <c r="C798" t="s">
        <v>21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46" x14ac:dyDescent="0.2">
      <c r="A799">
        <v>220</v>
      </c>
      <c r="B799">
        <v>792</v>
      </c>
      <c r="C799" t="s">
        <v>21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</row>
    <row r="800" spans="1:46" x14ac:dyDescent="0.2">
      <c r="A800">
        <v>219</v>
      </c>
      <c r="B800">
        <v>793</v>
      </c>
      <c r="C800" t="s">
        <v>21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</row>
    <row r="801" spans="1:46" x14ac:dyDescent="0.2">
      <c r="A801">
        <v>218</v>
      </c>
      <c r="B801">
        <v>794</v>
      </c>
      <c r="C801" t="s">
        <v>21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46" x14ac:dyDescent="0.2">
      <c r="A802">
        <v>217</v>
      </c>
      <c r="B802">
        <v>795</v>
      </c>
      <c r="C802" t="s">
        <v>21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46" x14ac:dyDescent="0.2">
      <c r="A803">
        <v>216</v>
      </c>
      <c r="B803">
        <v>796</v>
      </c>
      <c r="C803" t="s">
        <v>21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46" x14ac:dyDescent="0.2">
      <c r="A804">
        <v>215</v>
      </c>
      <c r="B804">
        <v>797</v>
      </c>
      <c r="C804" t="s">
        <v>21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</row>
    <row r="805" spans="1:46" x14ac:dyDescent="0.2">
      <c r="A805">
        <v>214</v>
      </c>
      <c r="B805">
        <v>798</v>
      </c>
      <c r="C805" t="s">
        <v>21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</row>
    <row r="806" spans="1:46" x14ac:dyDescent="0.2">
      <c r="A806">
        <v>213</v>
      </c>
      <c r="B806">
        <v>799</v>
      </c>
      <c r="C806" t="s">
        <v>21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46" x14ac:dyDescent="0.2">
      <c r="A807">
        <v>212</v>
      </c>
      <c r="B807">
        <v>800</v>
      </c>
      <c r="C807" t="s">
        <v>21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 spans="1:46" x14ac:dyDescent="0.2">
      <c r="A808">
        <v>211</v>
      </c>
      <c r="B808">
        <v>801</v>
      </c>
      <c r="C808" t="s">
        <v>21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</row>
    <row r="809" spans="1:46" x14ac:dyDescent="0.2">
      <c r="A809">
        <v>210</v>
      </c>
      <c r="B809">
        <v>802</v>
      </c>
      <c r="C809" t="s">
        <v>21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46" x14ac:dyDescent="0.2">
      <c r="A810">
        <v>209</v>
      </c>
      <c r="B810">
        <v>803</v>
      </c>
      <c r="C810" t="s">
        <v>21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46" x14ac:dyDescent="0.2">
      <c r="A811">
        <v>208</v>
      </c>
      <c r="B811">
        <v>804</v>
      </c>
      <c r="C811" t="s">
        <v>21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</row>
    <row r="812" spans="1:46" x14ac:dyDescent="0.2">
      <c r="A812">
        <v>207</v>
      </c>
      <c r="B812">
        <v>805</v>
      </c>
      <c r="C812" t="s">
        <v>21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46" x14ac:dyDescent="0.2">
      <c r="A813">
        <v>206</v>
      </c>
      <c r="B813">
        <v>806</v>
      </c>
      <c r="C813" t="s">
        <v>21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</row>
    <row r="814" spans="1:46" x14ac:dyDescent="0.2">
      <c r="A814">
        <v>205</v>
      </c>
      <c r="B814">
        <v>807</v>
      </c>
      <c r="C814" t="s">
        <v>21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46" x14ac:dyDescent="0.2">
      <c r="A815">
        <v>204</v>
      </c>
      <c r="B815">
        <v>808</v>
      </c>
      <c r="C815" t="s">
        <v>21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46" x14ac:dyDescent="0.2">
      <c r="A816">
        <v>203</v>
      </c>
      <c r="B816">
        <v>809</v>
      </c>
      <c r="C816" t="s">
        <v>21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</row>
    <row r="817" spans="1:46" x14ac:dyDescent="0.2">
      <c r="A817">
        <v>202</v>
      </c>
      <c r="B817">
        <v>810</v>
      </c>
      <c r="C817" t="s">
        <v>21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</row>
    <row r="818" spans="1:46" x14ac:dyDescent="0.2">
      <c r="A818">
        <v>201</v>
      </c>
      <c r="B818">
        <v>811</v>
      </c>
      <c r="C818" t="s">
        <v>21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</row>
    <row r="819" spans="1:46" x14ac:dyDescent="0.2">
      <c r="A819">
        <v>200</v>
      </c>
      <c r="B819">
        <v>812</v>
      </c>
      <c r="C819" t="s">
        <v>21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</row>
    <row r="820" spans="1:46" x14ac:dyDescent="0.2">
      <c r="A820">
        <v>199</v>
      </c>
      <c r="B820">
        <v>813</v>
      </c>
      <c r="C820" t="s">
        <v>21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</row>
    <row r="821" spans="1:46" x14ac:dyDescent="0.2">
      <c r="A821">
        <v>198</v>
      </c>
      <c r="B821">
        <v>814</v>
      </c>
      <c r="C821" t="s">
        <v>21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</row>
    <row r="822" spans="1:46" x14ac:dyDescent="0.2">
      <c r="A822">
        <v>197</v>
      </c>
      <c r="B822">
        <v>815</v>
      </c>
      <c r="C822" t="s">
        <v>21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</row>
    <row r="823" spans="1:46" x14ac:dyDescent="0.2">
      <c r="A823">
        <v>196</v>
      </c>
      <c r="B823">
        <v>816</v>
      </c>
      <c r="C823" t="s">
        <v>21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</row>
    <row r="824" spans="1:46" x14ac:dyDescent="0.2">
      <c r="A824">
        <v>195</v>
      </c>
      <c r="B824">
        <v>817</v>
      </c>
      <c r="C824" t="s">
        <v>21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</row>
    <row r="825" spans="1:46" x14ac:dyDescent="0.2">
      <c r="A825">
        <v>194</v>
      </c>
      <c r="B825">
        <v>818</v>
      </c>
      <c r="C825" t="s">
        <v>21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</row>
    <row r="826" spans="1:46" x14ac:dyDescent="0.2">
      <c r="A826">
        <v>193</v>
      </c>
      <c r="B826">
        <v>819</v>
      </c>
      <c r="C826" t="s">
        <v>21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</row>
    <row r="827" spans="1:46" x14ac:dyDescent="0.2">
      <c r="A827">
        <v>192</v>
      </c>
      <c r="B827">
        <v>820</v>
      </c>
      <c r="C827" t="s">
        <v>21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</row>
    <row r="828" spans="1:46" x14ac:dyDescent="0.2">
      <c r="A828">
        <v>191</v>
      </c>
      <c r="B828">
        <v>821</v>
      </c>
      <c r="C828" t="s">
        <v>21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</row>
    <row r="829" spans="1:46" x14ac:dyDescent="0.2">
      <c r="A829">
        <v>190</v>
      </c>
      <c r="B829">
        <v>822</v>
      </c>
      <c r="C829" t="s">
        <v>21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46" x14ac:dyDescent="0.2">
      <c r="A830">
        <v>189</v>
      </c>
      <c r="B830">
        <v>823</v>
      </c>
      <c r="C830" t="s">
        <v>21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</row>
    <row r="831" spans="1:46" x14ac:dyDescent="0.2">
      <c r="A831">
        <v>188</v>
      </c>
      <c r="B831">
        <v>824</v>
      </c>
      <c r="C831" t="s">
        <v>21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</row>
    <row r="832" spans="1:46" x14ac:dyDescent="0.2">
      <c r="A832">
        <v>187</v>
      </c>
      <c r="B832">
        <v>825</v>
      </c>
      <c r="C832" t="s">
        <v>21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46" x14ac:dyDescent="0.2">
      <c r="A833">
        <v>186</v>
      </c>
      <c r="B833">
        <v>826</v>
      </c>
      <c r="C833" t="s">
        <v>21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46" x14ac:dyDescent="0.2">
      <c r="A834">
        <v>185</v>
      </c>
      <c r="B834">
        <v>827</v>
      </c>
      <c r="C834" t="s">
        <v>21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46" x14ac:dyDescent="0.2">
      <c r="A835">
        <v>184</v>
      </c>
      <c r="B835">
        <v>828</v>
      </c>
      <c r="C835" t="s">
        <v>21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46" x14ac:dyDescent="0.2">
      <c r="A836">
        <v>183</v>
      </c>
      <c r="B836">
        <v>829</v>
      </c>
      <c r="C836" t="s">
        <v>21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</row>
    <row r="837" spans="1:46" x14ac:dyDescent="0.2">
      <c r="A837">
        <v>182</v>
      </c>
      <c r="B837">
        <v>830</v>
      </c>
      <c r="C837" t="s">
        <v>21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46" x14ac:dyDescent="0.2">
      <c r="A838">
        <v>181</v>
      </c>
      <c r="B838">
        <v>831</v>
      </c>
      <c r="C838" t="s">
        <v>21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</row>
    <row r="839" spans="1:46" x14ac:dyDescent="0.2">
      <c r="A839">
        <v>180</v>
      </c>
      <c r="B839">
        <v>832</v>
      </c>
      <c r="C839" t="s">
        <v>21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 spans="1:46" x14ac:dyDescent="0.2">
      <c r="A840">
        <v>179</v>
      </c>
      <c r="B840">
        <v>833</v>
      </c>
      <c r="C840" t="s">
        <v>21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 spans="1:46" x14ac:dyDescent="0.2">
      <c r="A841">
        <v>178</v>
      </c>
      <c r="B841">
        <v>834</v>
      </c>
      <c r="C841" t="s">
        <v>21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 spans="1:46" x14ac:dyDescent="0.2">
      <c r="A842">
        <v>177</v>
      </c>
      <c r="B842">
        <v>835</v>
      </c>
      <c r="C842" t="s">
        <v>21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46" x14ac:dyDescent="0.2">
      <c r="A843">
        <v>176</v>
      </c>
      <c r="B843">
        <v>836</v>
      </c>
      <c r="C843" t="s">
        <v>21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46" x14ac:dyDescent="0.2">
      <c r="A844">
        <v>175</v>
      </c>
      <c r="B844">
        <v>837</v>
      </c>
      <c r="C844" t="s">
        <v>21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46" x14ac:dyDescent="0.2">
      <c r="A845">
        <v>174</v>
      </c>
      <c r="B845">
        <v>838</v>
      </c>
      <c r="C845" t="s">
        <v>21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46" x14ac:dyDescent="0.2">
      <c r="A846">
        <v>173</v>
      </c>
      <c r="B846">
        <v>839</v>
      </c>
      <c r="C846" t="s">
        <v>21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</row>
    <row r="847" spans="1:46" x14ac:dyDescent="0.2">
      <c r="A847">
        <v>172</v>
      </c>
      <c r="B847">
        <v>840</v>
      </c>
      <c r="C847" t="s">
        <v>21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</row>
    <row r="848" spans="1:46" x14ac:dyDescent="0.2">
      <c r="A848">
        <v>171</v>
      </c>
      <c r="B848">
        <v>841</v>
      </c>
      <c r="C848" t="s">
        <v>21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</row>
    <row r="849" spans="1:46" x14ac:dyDescent="0.2">
      <c r="A849">
        <v>170</v>
      </c>
      <c r="B849">
        <v>842</v>
      </c>
      <c r="C849" t="s">
        <v>21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46" x14ac:dyDescent="0.2">
      <c r="A850">
        <v>169</v>
      </c>
      <c r="B850">
        <v>843</v>
      </c>
      <c r="C850" t="s">
        <v>21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46" x14ac:dyDescent="0.2">
      <c r="A851">
        <v>168</v>
      </c>
      <c r="B851">
        <v>844</v>
      </c>
      <c r="C851" t="s">
        <v>21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46" x14ac:dyDescent="0.2">
      <c r="A852">
        <v>167</v>
      </c>
      <c r="B852">
        <v>845</v>
      </c>
      <c r="C852" t="s">
        <v>21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46" x14ac:dyDescent="0.2">
      <c r="A853">
        <v>166</v>
      </c>
      <c r="B853">
        <v>846</v>
      </c>
      <c r="C853" t="s">
        <v>21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 spans="1:46" x14ac:dyDescent="0.2">
      <c r="A854">
        <v>165</v>
      </c>
      <c r="B854">
        <v>847</v>
      </c>
      <c r="C854" t="s">
        <v>21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</row>
    <row r="855" spans="1:46" x14ac:dyDescent="0.2">
      <c r="A855">
        <v>164</v>
      </c>
      <c r="B855">
        <v>848</v>
      </c>
      <c r="C855" t="s">
        <v>21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</row>
    <row r="856" spans="1:46" x14ac:dyDescent="0.2">
      <c r="A856">
        <v>163</v>
      </c>
      <c r="B856">
        <v>849</v>
      </c>
      <c r="C856" t="s">
        <v>21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46" x14ac:dyDescent="0.2">
      <c r="A857">
        <v>162</v>
      </c>
      <c r="B857">
        <v>850</v>
      </c>
      <c r="C857" t="s">
        <v>21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46" x14ac:dyDescent="0.2">
      <c r="A858">
        <v>161</v>
      </c>
      <c r="B858">
        <v>851</v>
      </c>
      <c r="C858" t="s">
        <v>21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46" x14ac:dyDescent="0.2">
      <c r="A859">
        <v>160</v>
      </c>
      <c r="B859">
        <v>852</v>
      </c>
      <c r="C859" t="s">
        <v>21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</row>
    <row r="860" spans="1:46" x14ac:dyDescent="0.2">
      <c r="A860">
        <v>159</v>
      </c>
      <c r="B860">
        <v>853</v>
      </c>
      <c r="C860" t="s">
        <v>21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</row>
    <row r="861" spans="1:46" x14ac:dyDescent="0.2">
      <c r="A861">
        <v>158</v>
      </c>
      <c r="B861">
        <v>854</v>
      </c>
      <c r="C861" t="s">
        <v>21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</row>
    <row r="862" spans="1:46" x14ac:dyDescent="0.2">
      <c r="A862">
        <v>157</v>
      </c>
      <c r="B862">
        <v>855</v>
      </c>
      <c r="C862" t="s">
        <v>21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46" x14ac:dyDescent="0.2">
      <c r="A863">
        <v>156</v>
      </c>
      <c r="B863">
        <v>856</v>
      </c>
      <c r="C863" t="s">
        <v>21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</row>
    <row r="864" spans="1:46" x14ac:dyDescent="0.2">
      <c r="A864">
        <v>155</v>
      </c>
      <c r="B864">
        <v>857</v>
      </c>
      <c r="C864" t="s">
        <v>21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</row>
    <row r="865" spans="1:46" x14ac:dyDescent="0.2">
      <c r="A865">
        <v>154</v>
      </c>
      <c r="B865">
        <v>858</v>
      </c>
      <c r="C865" t="s">
        <v>21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</row>
    <row r="866" spans="1:46" x14ac:dyDescent="0.2">
      <c r="A866">
        <v>153</v>
      </c>
      <c r="B866">
        <v>859</v>
      </c>
      <c r="C866" t="s">
        <v>21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46" x14ac:dyDescent="0.2">
      <c r="A867">
        <v>152</v>
      </c>
      <c r="B867">
        <v>860</v>
      </c>
      <c r="C867" t="s">
        <v>21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</row>
    <row r="868" spans="1:46" x14ac:dyDescent="0.2">
      <c r="A868">
        <v>151</v>
      </c>
      <c r="B868">
        <v>861</v>
      </c>
      <c r="C868" t="s">
        <v>21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</row>
    <row r="869" spans="1:46" x14ac:dyDescent="0.2">
      <c r="A869">
        <v>150</v>
      </c>
      <c r="B869">
        <v>862</v>
      </c>
      <c r="C869" t="s">
        <v>21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</row>
    <row r="870" spans="1:46" x14ac:dyDescent="0.2">
      <c r="A870">
        <v>149</v>
      </c>
      <c r="B870">
        <v>863</v>
      </c>
      <c r="C870" t="s">
        <v>21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</row>
    <row r="871" spans="1:46" x14ac:dyDescent="0.2">
      <c r="A871">
        <v>148</v>
      </c>
      <c r="B871">
        <v>864</v>
      </c>
      <c r="C871" t="s">
        <v>21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</row>
    <row r="872" spans="1:46" x14ac:dyDescent="0.2">
      <c r="A872">
        <v>147</v>
      </c>
      <c r="B872">
        <v>865</v>
      </c>
      <c r="C872" t="s">
        <v>21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</row>
    <row r="873" spans="1:46" x14ac:dyDescent="0.2">
      <c r="A873">
        <v>146</v>
      </c>
      <c r="B873">
        <v>866</v>
      </c>
      <c r="C873" t="s">
        <v>21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46" x14ac:dyDescent="0.2">
      <c r="A874">
        <v>145</v>
      </c>
      <c r="B874">
        <v>867</v>
      </c>
      <c r="C874" t="s">
        <v>21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46" x14ac:dyDescent="0.2">
      <c r="A875">
        <v>144</v>
      </c>
      <c r="B875">
        <v>868</v>
      </c>
      <c r="C875" t="s">
        <v>21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</row>
    <row r="876" spans="1:46" x14ac:dyDescent="0.2">
      <c r="A876">
        <v>143</v>
      </c>
      <c r="B876">
        <v>869</v>
      </c>
      <c r="C876" t="s">
        <v>21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</row>
    <row r="877" spans="1:46" x14ac:dyDescent="0.2">
      <c r="A877">
        <v>142</v>
      </c>
      <c r="B877">
        <v>870</v>
      </c>
      <c r="C877" t="s">
        <v>21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</row>
    <row r="878" spans="1:46" x14ac:dyDescent="0.2">
      <c r="A878">
        <v>141</v>
      </c>
      <c r="B878">
        <v>871</v>
      </c>
      <c r="C878" t="s">
        <v>21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</row>
    <row r="879" spans="1:46" x14ac:dyDescent="0.2">
      <c r="A879">
        <v>140</v>
      </c>
      <c r="B879">
        <v>872</v>
      </c>
      <c r="C879" t="s">
        <v>21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</row>
    <row r="880" spans="1:46" x14ac:dyDescent="0.2">
      <c r="A880">
        <v>139</v>
      </c>
      <c r="B880">
        <v>873</v>
      </c>
      <c r="C880" t="s">
        <v>21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</row>
    <row r="881" spans="1:46" x14ac:dyDescent="0.2">
      <c r="A881">
        <v>138</v>
      </c>
      <c r="B881">
        <v>874</v>
      </c>
      <c r="C881" t="s">
        <v>21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</row>
    <row r="882" spans="1:46" x14ac:dyDescent="0.2">
      <c r="A882">
        <v>137</v>
      </c>
      <c r="B882">
        <v>875</v>
      </c>
      <c r="C882" t="s">
        <v>21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</row>
    <row r="883" spans="1:46" x14ac:dyDescent="0.2">
      <c r="A883">
        <v>136</v>
      </c>
      <c r="B883">
        <v>876</v>
      </c>
      <c r="C883" t="s">
        <v>21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46" x14ac:dyDescent="0.2">
      <c r="A884">
        <v>135</v>
      </c>
      <c r="B884">
        <v>877</v>
      </c>
      <c r="C884" t="s">
        <v>21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</row>
    <row r="885" spans="1:46" x14ac:dyDescent="0.2">
      <c r="A885">
        <v>134</v>
      </c>
      <c r="B885">
        <v>878</v>
      </c>
      <c r="C885" t="s">
        <v>21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</row>
    <row r="886" spans="1:46" x14ac:dyDescent="0.2">
      <c r="A886">
        <v>133</v>
      </c>
      <c r="B886">
        <v>879</v>
      </c>
      <c r="C886" t="s">
        <v>21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</row>
    <row r="887" spans="1:46" x14ac:dyDescent="0.2">
      <c r="A887">
        <v>132</v>
      </c>
      <c r="B887">
        <v>880</v>
      </c>
      <c r="C887" t="s">
        <v>21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</row>
    <row r="888" spans="1:46" x14ac:dyDescent="0.2">
      <c r="A888">
        <v>131</v>
      </c>
      <c r="B888">
        <v>881</v>
      </c>
      <c r="C888" t="s">
        <v>21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</row>
    <row r="889" spans="1:46" x14ac:dyDescent="0.2">
      <c r="A889">
        <v>130</v>
      </c>
      <c r="B889">
        <v>882</v>
      </c>
      <c r="C889" t="s">
        <v>21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</row>
    <row r="890" spans="1:46" x14ac:dyDescent="0.2">
      <c r="A890">
        <v>129</v>
      </c>
      <c r="B890">
        <v>883</v>
      </c>
      <c r="C890" t="s">
        <v>21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</row>
    <row r="891" spans="1:46" x14ac:dyDescent="0.2">
      <c r="A891">
        <v>128</v>
      </c>
      <c r="B891">
        <v>884</v>
      </c>
      <c r="C891" t="s">
        <v>21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46" x14ac:dyDescent="0.2">
      <c r="A892">
        <v>127</v>
      </c>
      <c r="B892">
        <v>885</v>
      </c>
      <c r="C892" t="s">
        <v>21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</row>
    <row r="893" spans="1:46" x14ac:dyDescent="0.2">
      <c r="A893">
        <v>126</v>
      </c>
      <c r="B893">
        <v>886</v>
      </c>
      <c r="C893" t="s">
        <v>21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</row>
    <row r="894" spans="1:46" x14ac:dyDescent="0.2">
      <c r="A894">
        <v>125</v>
      </c>
      <c r="B894">
        <v>887</v>
      </c>
      <c r="C894" t="s">
        <v>21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46" x14ac:dyDescent="0.2">
      <c r="A895">
        <v>124</v>
      </c>
      <c r="B895">
        <v>888</v>
      </c>
      <c r="C895" t="s">
        <v>21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</row>
    <row r="896" spans="1:46" x14ac:dyDescent="0.2">
      <c r="A896">
        <v>123</v>
      </c>
      <c r="B896">
        <v>889</v>
      </c>
      <c r="C896" t="s">
        <v>21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</row>
    <row r="897" spans="1:46" x14ac:dyDescent="0.2">
      <c r="A897">
        <v>122</v>
      </c>
      <c r="B897">
        <v>890</v>
      </c>
      <c r="C897" t="s">
        <v>21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46" x14ac:dyDescent="0.2">
      <c r="A898">
        <v>121</v>
      </c>
      <c r="B898">
        <v>891</v>
      </c>
      <c r="C898" t="s">
        <v>21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46" x14ac:dyDescent="0.2">
      <c r="A899">
        <v>120</v>
      </c>
      <c r="B899">
        <v>892</v>
      </c>
      <c r="C899" t="s">
        <v>21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46" x14ac:dyDescent="0.2">
      <c r="A900">
        <v>119</v>
      </c>
      <c r="B900">
        <v>893</v>
      </c>
      <c r="C900" t="s">
        <v>21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</row>
    <row r="901" spans="1:46" x14ac:dyDescent="0.2">
      <c r="A901">
        <v>118</v>
      </c>
      <c r="B901">
        <v>894</v>
      </c>
      <c r="C901" t="s">
        <v>21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</row>
    <row r="902" spans="1:46" x14ac:dyDescent="0.2">
      <c r="A902">
        <v>117</v>
      </c>
      <c r="B902">
        <v>895</v>
      </c>
      <c r="C902" t="s">
        <v>21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46" x14ac:dyDescent="0.2">
      <c r="A903">
        <v>116</v>
      </c>
      <c r="B903">
        <v>896</v>
      </c>
      <c r="C903" t="s">
        <v>21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</row>
    <row r="904" spans="1:46" x14ac:dyDescent="0.2">
      <c r="A904">
        <v>115</v>
      </c>
      <c r="B904">
        <v>897</v>
      </c>
      <c r="C904" t="s">
        <v>21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</row>
    <row r="905" spans="1:46" x14ac:dyDescent="0.2">
      <c r="A905">
        <v>114</v>
      </c>
      <c r="B905">
        <v>898</v>
      </c>
      <c r="C905" t="s">
        <v>21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</row>
    <row r="906" spans="1:46" x14ac:dyDescent="0.2">
      <c r="A906">
        <v>113</v>
      </c>
      <c r="B906">
        <v>899</v>
      </c>
      <c r="C906" t="s">
        <v>21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</row>
    <row r="907" spans="1:46" x14ac:dyDescent="0.2">
      <c r="A907">
        <v>112</v>
      </c>
      <c r="B907">
        <v>900</v>
      </c>
      <c r="C907" t="s">
        <v>21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46" x14ac:dyDescent="0.2">
      <c r="A908">
        <v>111</v>
      </c>
      <c r="B908">
        <v>901</v>
      </c>
      <c r="C908" t="s">
        <v>21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</row>
    <row r="909" spans="1:46" x14ac:dyDescent="0.2">
      <c r="A909">
        <v>110</v>
      </c>
      <c r="B909">
        <v>902</v>
      </c>
      <c r="C909" t="s">
        <v>21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46" x14ac:dyDescent="0.2">
      <c r="A910">
        <v>109</v>
      </c>
      <c r="B910">
        <v>903</v>
      </c>
      <c r="C910" t="s">
        <v>21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46" x14ac:dyDescent="0.2">
      <c r="A911">
        <v>108</v>
      </c>
      <c r="B911">
        <v>904</v>
      </c>
      <c r="C911" t="s">
        <v>21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</row>
    <row r="912" spans="1:46" x14ac:dyDescent="0.2">
      <c r="A912">
        <v>107</v>
      </c>
      <c r="B912">
        <v>905</v>
      </c>
      <c r="C912" t="s">
        <v>21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</row>
    <row r="913" spans="1:46" x14ac:dyDescent="0.2">
      <c r="A913">
        <v>106</v>
      </c>
      <c r="B913">
        <v>906</v>
      </c>
      <c r="C913" t="s">
        <v>21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</row>
    <row r="914" spans="1:46" x14ac:dyDescent="0.2">
      <c r="A914">
        <v>105</v>
      </c>
      <c r="B914">
        <v>907</v>
      </c>
      <c r="C914" t="s">
        <v>21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</row>
    <row r="915" spans="1:46" x14ac:dyDescent="0.2">
      <c r="A915">
        <v>104</v>
      </c>
      <c r="B915">
        <v>908</v>
      </c>
      <c r="C915" t="s">
        <v>21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</row>
    <row r="916" spans="1:46" x14ac:dyDescent="0.2">
      <c r="A916">
        <v>103</v>
      </c>
      <c r="B916">
        <v>909</v>
      </c>
      <c r="C916" t="s">
        <v>21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</row>
    <row r="917" spans="1:46" x14ac:dyDescent="0.2">
      <c r="A917">
        <v>102</v>
      </c>
      <c r="B917">
        <v>910</v>
      </c>
      <c r="C917" t="s">
        <v>21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</row>
    <row r="918" spans="1:46" x14ac:dyDescent="0.2">
      <c r="A918">
        <v>101</v>
      </c>
      <c r="B918">
        <v>911</v>
      </c>
      <c r="C918" t="s">
        <v>21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</row>
    <row r="919" spans="1:46" x14ac:dyDescent="0.2">
      <c r="A919">
        <v>100</v>
      </c>
      <c r="B919">
        <v>912</v>
      </c>
      <c r="C919" t="s">
        <v>21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46" x14ac:dyDescent="0.2">
      <c r="A920">
        <v>99</v>
      </c>
      <c r="B920">
        <v>913</v>
      </c>
      <c r="C920" t="s">
        <v>21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</row>
    <row r="921" spans="1:46" x14ac:dyDescent="0.2">
      <c r="A921">
        <v>98</v>
      </c>
      <c r="B921">
        <v>914</v>
      </c>
      <c r="C921" t="s">
        <v>21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</row>
    <row r="922" spans="1:46" x14ac:dyDescent="0.2">
      <c r="A922">
        <v>97</v>
      </c>
      <c r="B922">
        <v>915</v>
      </c>
      <c r="C922" t="s">
        <v>21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</row>
    <row r="923" spans="1:46" x14ac:dyDescent="0.2">
      <c r="A923">
        <v>96</v>
      </c>
      <c r="B923">
        <v>916</v>
      </c>
      <c r="C923" t="s">
        <v>21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</row>
    <row r="924" spans="1:46" x14ac:dyDescent="0.2">
      <c r="A924">
        <v>95</v>
      </c>
      <c r="B924">
        <v>917</v>
      </c>
      <c r="C924" t="s">
        <v>21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46" x14ac:dyDescent="0.2">
      <c r="A925">
        <v>94</v>
      </c>
      <c r="B925">
        <v>918</v>
      </c>
      <c r="C925" t="s">
        <v>21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46" x14ac:dyDescent="0.2">
      <c r="A926">
        <v>93</v>
      </c>
      <c r="B926">
        <v>919</v>
      </c>
      <c r="C926" t="s">
        <v>21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</row>
    <row r="927" spans="1:46" x14ac:dyDescent="0.2">
      <c r="A927">
        <v>92</v>
      </c>
      <c r="B927">
        <v>920</v>
      </c>
      <c r="C927" t="s">
        <v>21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46" x14ac:dyDescent="0.2">
      <c r="A928">
        <v>91</v>
      </c>
      <c r="B928">
        <v>921</v>
      </c>
      <c r="C928" t="s">
        <v>21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46" x14ac:dyDescent="0.2">
      <c r="A929">
        <v>90</v>
      </c>
      <c r="B929">
        <v>922</v>
      </c>
      <c r="C929" t="s">
        <v>21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</row>
    <row r="930" spans="1:46" x14ac:dyDescent="0.2">
      <c r="A930">
        <v>89</v>
      </c>
      <c r="B930">
        <v>923</v>
      </c>
      <c r="C930" t="s">
        <v>21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</row>
    <row r="931" spans="1:46" x14ac:dyDescent="0.2">
      <c r="A931">
        <v>88</v>
      </c>
      <c r="B931">
        <v>924</v>
      </c>
      <c r="C931" t="s">
        <v>21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</row>
    <row r="932" spans="1:46" x14ac:dyDescent="0.2">
      <c r="A932">
        <v>87</v>
      </c>
      <c r="B932">
        <v>925</v>
      </c>
      <c r="C932" t="s">
        <v>21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46" x14ac:dyDescent="0.2">
      <c r="A933">
        <v>86</v>
      </c>
      <c r="B933">
        <v>926</v>
      </c>
      <c r="C933" t="s">
        <v>21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</row>
    <row r="934" spans="1:46" x14ac:dyDescent="0.2">
      <c r="A934">
        <v>85</v>
      </c>
      <c r="B934">
        <v>927</v>
      </c>
      <c r="C934" t="s">
        <v>21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</row>
    <row r="935" spans="1:46" x14ac:dyDescent="0.2">
      <c r="A935">
        <v>84</v>
      </c>
      <c r="B935">
        <v>928</v>
      </c>
      <c r="C935" t="s">
        <v>21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</row>
    <row r="936" spans="1:46" x14ac:dyDescent="0.2">
      <c r="A936">
        <v>83</v>
      </c>
      <c r="B936">
        <v>929</v>
      </c>
      <c r="C936" t="s">
        <v>21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</row>
    <row r="937" spans="1:46" x14ac:dyDescent="0.2">
      <c r="A937">
        <v>82</v>
      </c>
      <c r="B937">
        <v>930</v>
      </c>
      <c r="C937" t="s">
        <v>21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</row>
    <row r="938" spans="1:46" x14ac:dyDescent="0.2">
      <c r="A938">
        <v>81</v>
      </c>
      <c r="B938">
        <v>931</v>
      </c>
      <c r="C938" t="s">
        <v>21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</row>
    <row r="939" spans="1:46" x14ac:dyDescent="0.2">
      <c r="A939">
        <v>80</v>
      </c>
      <c r="B939">
        <v>932</v>
      </c>
      <c r="C939" t="s">
        <v>21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</row>
    <row r="940" spans="1:46" x14ac:dyDescent="0.2">
      <c r="A940">
        <v>79</v>
      </c>
      <c r="B940">
        <v>933</v>
      </c>
      <c r="C940" t="s">
        <v>21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</row>
    <row r="941" spans="1:46" x14ac:dyDescent="0.2">
      <c r="A941">
        <v>78</v>
      </c>
      <c r="B941">
        <v>934</v>
      </c>
      <c r="C941" t="s">
        <v>21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</row>
    <row r="942" spans="1:46" x14ac:dyDescent="0.2">
      <c r="A942">
        <v>77</v>
      </c>
      <c r="B942">
        <v>935</v>
      </c>
      <c r="C942" t="s">
        <v>21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</row>
    <row r="943" spans="1:46" x14ac:dyDescent="0.2">
      <c r="A943">
        <v>76</v>
      </c>
      <c r="B943">
        <v>936</v>
      </c>
      <c r="C943" t="s">
        <v>21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</row>
    <row r="944" spans="1:46" x14ac:dyDescent="0.2">
      <c r="A944">
        <v>75</v>
      </c>
      <c r="B944">
        <v>937</v>
      </c>
      <c r="C944" t="s">
        <v>21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</row>
    <row r="945" spans="1:46" x14ac:dyDescent="0.2">
      <c r="A945">
        <v>74</v>
      </c>
      <c r="B945">
        <v>938</v>
      </c>
      <c r="C945" t="s">
        <v>21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</row>
    <row r="946" spans="1:46" x14ac:dyDescent="0.2">
      <c r="A946">
        <v>73</v>
      </c>
      <c r="B946">
        <v>939</v>
      </c>
      <c r="C946" t="s">
        <v>21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</row>
    <row r="947" spans="1:46" x14ac:dyDescent="0.2">
      <c r="A947">
        <v>72</v>
      </c>
      <c r="B947">
        <v>940</v>
      </c>
      <c r="C947" t="s">
        <v>21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</row>
    <row r="948" spans="1:46" x14ac:dyDescent="0.2">
      <c r="A948">
        <v>71</v>
      </c>
      <c r="B948">
        <v>941</v>
      </c>
      <c r="C948" t="s">
        <v>21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</row>
    <row r="949" spans="1:46" x14ac:dyDescent="0.2">
      <c r="A949">
        <v>70</v>
      </c>
      <c r="B949">
        <v>942</v>
      </c>
      <c r="C949" t="s">
        <v>21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</row>
    <row r="950" spans="1:46" x14ac:dyDescent="0.2">
      <c r="A950">
        <v>69</v>
      </c>
      <c r="B950">
        <v>943</v>
      </c>
      <c r="C950" t="s">
        <v>21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46" x14ac:dyDescent="0.2">
      <c r="A951">
        <v>68</v>
      </c>
      <c r="B951">
        <v>944</v>
      </c>
      <c r="C951" t="s">
        <v>21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</row>
    <row r="952" spans="1:46" x14ac:dyDescent="0.2">
      <c r="A952">
        <v>67</v>
      </c>
      <c r="B952">
        <v>945</v>
      </c>
      <c r="C952" t="s">
        <v>21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</row>
    <row r="953" spans="1:46" x14ac:dyDescent="0.2">
      <c r="A953">
        <v>66</v>
      </c>
      <c r="B953">
        <v>946</v>
      </c>
      <c r="C953" t="s">
        <v>21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</row>
    <row r="954" spans="1:46" x14ac:dyDescent="0.2">
      <c r="A954">
        <v>65</v>
      </c>
      <c r="B954">
        <v>947</v>
      </c>
      <c r="C954" t="s">
        <v>21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</row>
    <row r="955" spans="1:46" x14ac:dyDescent="0.2">
      <c r="A955">
        <v>64</v>
      </c>
      <c r="B955">
        <v>948</v>
      </c>
      <c r="C955" t="s">
        <v>21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</row>
    <row r="956" spans="1:46" x14ac:dyDescent="0.2">
      <c r="A956">
        <v>63</v>
      </c>
      <c r="B956">
        <v>949</v>
      </c>
      <c r="C956" t="s">
        <v>21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46" x14ac:dyDescent="0.2">
      <c r="A957">
        <v>62</v>
      </c>
      <c r="B957">
        <v>950</v>
      </c>
      <c r="C957" t="s">
        <v>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</row>
    <row r="958" spans="1:46" x14ac:dyDescent="0.2">
      <c r="A958">
        <v>61</v>
      </c>
      <c r="B958">
        <v>951</v>
      </c>
      <c r="C958" t="s">
        <v>21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</row>
    <row r="959" spans="1:46" x14ac:dyDescent="0.2">
      <c r="A959">
        <v>60</v>
      </c>
      <c r="B959">
        <v>952</v>
      </c>
      <c r="C959" t="s">
        <v>21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</row>
    <row r="960" spans="1:46" x14ac:dyDescent="0.2">
      <c r="A960">
        <v>59</v>
      </c>
      <c r="B960">
        <v>953</v>
      </c>
      <c r="C960" t="s">
        <v>21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</row>
    <row r="961" spans="1:46" x14ac:dyDescent="0.2">
      <c r="A961">
        <v>58</v>
      </c>
      <c r="B961">
        <v>954</v>
      </c>
      <c r="C961" t="s">
        <v>21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</row>
    <row r="962" spans="1:46" x14ac:dyDescent="0.2">
      <c r="A962">
        <v>57</v>
      </c>
      <c r="B962">
        <v>955</v>
      </c>
      <c r="C962" t="s">
        <v>21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</row>
    <row r="963" spans="1:46" x14ac:dyDescent="0.2">
      <c r="A963">
        <v>56</v>
      </c>
      <c r="B963">
        <v>956</v>
      </c>
      <c r="C963" t="s">
        <v>21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</row>
    <row r="964" spans="1:46" x14ac:dyDescent="0.2">
      <c r="A964">
        <v>55</v>
      </c>
      <c r="B964">
        <v>957</v>
      </c>
      <c r="C964" t="s">
        <v>21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</row>
    <row r="965" spans="1:46" x14ac:dyDescent="0.2">
      <c r="A965">
        <v>54</v>
      </c>
      <c r="B965">
        <v>958</v>
      </c>
      <c r="C965" t="s">
        <v>21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</row>
    <row r="966" spans="1:46" x14ac:dyDescent="0.2">
      <c r="A966">
        <v>53</v>
      </c>
      <c r="B966">
        <v>959</v>
      </c>
      <c r="C966" t="s">
        <v>21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</row>
    <row r="967" spans="1:46" x14ac:dyDescent="0.2">
      <c r="A967">
        <v>52</v>
      </c>
      <c r="B967">
        <v>960</v>
      </c>
      <c r="C967" t="s">
        <v>21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</row>
    <row r="968" spans="1:46" x14ac:dyDescent="0.2">
      <c r="A968">
        <v>51</v>
      </c>
      <c r="B968">
        <v>961</v>
      </c>
      <c r="C968" t="s">
        <v>21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</row>
    <row r="969" spans="1:46" x14ac:dyDescent="0.2">
      <c r="A969">
        <v>50</v>
      </c>
      <c r="B969">
        <v>962</v>
      </c>
      <c r="C969" t="s">
        <v>21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</row>
    <row r="970" spans="1:46" x14ac:dyDescent="0.2">
      <c r="A970">
        <v>49</v>
      </c>
      <c r="B970">
        <v>963</v>
      </c>
      <c r="C970" t="s">
        <v>21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</row>
    <row r="971" spans="1:46" x14ac:dyDescent="0.2">
      <c r="A971">
        <v>48</v>
      </c>
      <c r="B971">
        <v>964</v>
      </c>
      <c r="C971" t="s">
        <v>21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</row>
    <row r="972" spans="1:46" x14ac:dyDescent="0.2">
      <c r="A972">
        <v>47</v>
      </c>
      <c r="B972">
        <v>965</v>
      </c>
      <c r="C972" t="s">
        <v>21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</row>
    <row r="973" spans="1:46" x14ac:dyDescent="0.2">
      <c r="A973">
        <v>46</v>
      </c>
      <c r="B973">
        <v>966</v>
      </c>
      <c r="C973" t="s">
        <v>21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46" x14ac:dyDescent="0.2">
      <c r="A974">
        <v>45</v>
      </c>
      <c r="B974">
        <v>967</v>
      </c>
      <c r="C974" t="s">
        <v>21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46" x14ac:dyDescent="0.2">
      <c r="A975">
        <v>44</v>
      </c>
      <c r="B975">
        <v>968</v>
      </c>
      <c r="C975" t="s">
        <v>21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46" x14ac:dyDescent="0.2">
      <c r="A976">
        <v>43</v>
      </c>
      <c r="B976">
        <v>969</v>
      </c>
      <c r="C976" t="s">
        <v>21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</row>
    <row r="977" spans="1:46" x14ac:dyDescent="0.2">
      <c r="A977">
        <v>42</v>
      </c>
      <c r="B977">
        <v>970</v>
      </c>
      <c r="C977" t="s">
        <v>21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46" x14ac:dyDescent="0.2">
      <c r="A978">
        <v>41</v>
      </c>
      <c r="B978">
        <v>971</v>
      </c>
      <c r="C978" t="s">
        <v>21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46" x14ac:dyDescent="0.2">
      <c r="A979">
        <v>40</v>
      </c>
      <c r="B979">
        <v>972</v>
      </c>
      <c r="C979" t="s">
        <v>21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</row>
    <row r="980" spans="1:46" x14ac:dyDescent="0.2">
      <c r="A980">
        <v>39</v>
      </c>
      <c r="B980">
        <v>973</v>
      </c>
      <c r="C980" t="s">
        <v>21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</row>
    <row r="981" spans="1:46" x14ac:dyDescent="0.2">
      <c r="A981">
        <v>38</v>
      </c>
      <c r="B981">
        <v>974</v>
      </c>
      <c r="C981" t="s">
        <v>21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</row>
    <row r="982" spans="1:46" x14ac:dyDescent="0.2">
      <c r="A982">
        <v>37</v>
      </c>
      <c r="B982">
        <v>975</v>
      </c>
      <c r="C982" t="s">
        <v>21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46" x14ac:dyDescent="0.2">
      <c r="A983">
        <v>36</v>
      </c>
      <c r="B983">
        <v>976</v>
      </c>
      <c r="C983" t="s">
        <v>21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</row>
    <row r="984" spans="1:46" x14ac:dyDescent="0.2">
      <c r="A984">
        <v>35</v>
      </c>
      <c r="B984">
        <v>977</v>
      </c>
      <c r="C984" t="s">
        <v>21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46" x14ac:dyDescent="0.2">
      <c r="A985">
        <v>34</v>
      </c>
      <c r="B985">
        <v>978</v>
      </c>
      <c r="C985" t="s">
        <v>21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</row>
    <row r="986" spans="1:46" x14ac:dyDescent="0.2">
      <c r="A986">
        <v>33</v>
      </c>
      <c r="B986">
        <v>979</v>
      </c>
      <c r="C986" t="s">
        <v>21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</row>
    <row r="987" spans="1:46" x14ac:dyDescent="0.2">
      <c r="A987">
        <v>32</v>
      </c>
      <c r="B987">
        <v>980</v>
      </c>
      <c r="C987" t="s">
        <v>21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</row>
    <row r="988" spans="1:46" x14ac:dyDescent="0.2">
      <c r="A988">
        <v>31</v>
      </c>
      <c r="B988">
        <v>981</v>
      </c>
      <c r="C988" t="s">
        <v>21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</row>
    <row r="989" spans="1:46" x14ac:dyDescent="0.2">
      <c r="A989">
        <v>30</v>
      </c>
      <c r="B989">
        <v>982</v>
      </c>
      <c r="C989" t="s">
        <v>21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</row>
    <row r="990" spans="1:46" x14ac:dyDescent="0.2">
      <c r="A990">
        <v>29</v>
      </c>
      <c r="B990">
        <v>983</v>
      </c>
      <c r="C990" t="s">
        <v>21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46" x14ac:dyDescent="0.2">
      <c r="A991">
        <v>28</v>
      </c>
      <c r="B991">
        <v>984</v>
      </c>
      <c r="C991" t="s">
        <v>21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</row>
    <row r="992" spans="1:46" x14ac:dyDescent="0.2">
      <c r="A992">
        <v>27</v>
      </c>
      <c r="B992">
        <v>985</v>
      </c>
      <c r="C992" t="s">
        <v>21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</row>
    <row r="993" spans="1:46" x14ac:dyDescent="0.2">
      <c r="A993">
        <v>26</v>
      </c>
      <c r="B993">
        <v>986</v>
      </c>
      <c r="C993" t="s">
        <v>21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46" x14ac:dyDescent="0.2">
      <c r="A994">
        <v>25</v>
      </c>
      <c r="B994">
        <v>987</v>
      </c>
      <c r="C994" t="s">
        <v>21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46" x14ac:dyDescent="0.2">
      <c r="A995">
        <v>24</v>
      </c>
      <c r="B995">
        <v>988</v>
      </c>
      <c r="C995" t="s">
        <v>21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</row>
    <row r="996" spans="1:46" x14ac:dyDescent="0.2">
      <c r="A996">
        <v>23</v>
      </c>
      <c r="B996">
        <v>989</v>
      </c>
      <c r="C996" t="s">
        <v>21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</row>
    <row r="997" spans="1:46" x14ac:dyDescent="0.2">
      <c r="A997">
        <v>22</v>
      </c>
      <c r="B997">
        <v>990</v>
      </c>
      <c r="C997" t="s">
        <v>21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46" x14ac:dyDescent="0.2">
      <c r="A998">
        <v>21</v>
      </c>
      <c r="B998">
        <v>991</v>
      </c>
      <c r="C998" t="s">
        <v>21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46" x14ac:dyDescent="0.2">
      <c r="A999">
        <v>20</v>
      </c>
      <c r="B999">
        <v>992</v>
      </c>
      <c r="C999" t="s">
        <v>21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</row>
    <row r="1000" spans="1:46" x14ac:dyDescent="0.2">
      <c r="A1000">
        <v>19</v>
      </c>
      <c r="B1000">
        <v>993</v>
      </c>
      <c r="C1000" t="s">
        <v>21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46" x14ac:dyDescent="0.2">
      <c r="A1001">
        <v>18</v>
      </c>
      <c r="B1001">
        <v>994</v>
      </c>
      <c r="C1001" t="s">
        <v>21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</row>
    <row r="1002" spans="1:46" x14ac:dyDescent="0.2">
      <c r="A1002">
        <v>17</v>
      </c>
      <c r="B1002">
        <v>995</v>
      </c>
      <c r="C1002" t="s">
        <v>21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</row>
    <row r="1003" spans="1:46" x14ac:dyDescent="0.2">
      <c r="A1003">
        <v>16</v>
      </c>
      <c r="B1003">
        <v>996</v>
      </c>
      <c r="C1003" t="s">
        <v>21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R23"/>
  <sheetViews>
    <sheetView workbookViewId="0"/>
  </sheetViews>
  <sheetFormatPr defaultRowHeight="12.75" x14ac:dyDescent="0.2"/>
  <cols>
    <col min="15" max="15" width="9.42578125" bestFit="1" customWidth="1"/>
    <col min="16" max="24" width="9.28515625" bestFit="1" customWidth="1"/>
    <col min="25" max="26" width="9.42578125" bestFit="1" customWidth="1"/>
  </cols>
  <sheetData>
    <row r="3" spans="3:18" x14ac:dyDescent="0.2">
      <c r="R3" s="63">
        <v>45292</v>
      </c>
    </row>
    <row r="4" spans="3:18" x14ac:dyDescent="0.2"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3:18" x14ac:dyDescent="0.2">
      <c r="E5" s="63">
        <v>45566</v>
      </c>
      <c r="F5" s="63">
        <v>45597</v>
      </c>
      <c r="G5" s="63">
        <v>45627</v>
      </c>
      <c r="H5" s="63">
        <v>45658</v>
      </c>
      <c r="I5" s="63">
        <v>45689</v>
      </c>
      <c r="J5" s="63">
        <v>45717</v>
      </c>
      <c r="K5" s="63">
        <v>45748</v>
      </c>
      <c r="L5" s="63">
        <v>45778</v>
      </c>
      <c r="M5" s="63">
        <v>45809</v>
      </c>
      <c r="N5" s="63">
        <v>45839</v>
      </c>
      <c r="O5" s="63">
        <v>45870</v>
      </c>
      <c r="P5" s="63">
        <v>45901</v>
      </c>
      <c r="Q5" s="63">
        <v>45931</v>
      </c>
      <c r="R5" t="s">
        <v>10</v>
      </c>
    </row>
    <row r="6" spans="3:18" x14ac:dyDescent="0.2">
      <c r="C6" t="s">
        <v>11</v>
      </c>
      <c r="D6" t="s">
        <v>0</v>
      </c>
      <c r="E6">
        <v>414</v>
      </c>
      <c r="F6">
        <v>353</v>
      </c>
      <c r="G6">
        <v>299</v>
      </c>
      <c r="H6">
        <v>331</v>
      </c>
      <c r="I6">
        <v>362</v>
      </c>
      <c r="J6">
        <v>366</v>
      </c>
      <c r="K6">
        <v>351</v>
      </c>
      <c r="L6">
        <v>384</v>
      </c>
      <c r="M6">
        <v>325</v>
      </c>
      <c r="N6">
        <v>332</v>
      </c>
      <c r="O6">
        <v>367</v>
      </c>
      <c r="P6">
        <v>276</v>
      </c>
      <c r="Q6">
        <v>366</v>
      </c>
      <c r="R6">
        <v>4526</v>
      </c>
    </row>
    <row r="7" spans="3:18" x14ac:dyDescent="0.2">
      <c r="D7" t="s">
        <v>12</v>
      </c>
      <c r="E7">
        <v>129</v>
      </c>
      <c r="F7">
        <v>118</v>
      </c>
      <c r="G7">
        <v>102</v>
      </c>
      <c r="H7">
        <v>124</v>
      </c>
      <c r="I7">
        <v>99</v>
      </c>
      <c r="J7">
        <v>110</v>
      </c>
      <c r="K7">
        <v>120</v>
      </c>
      <c r="L7">
        <v>121</v>
      </c>
      <c r="M7">
        <v>107</v>
      </c>
      <c r="N7">
        <v>112</v>
      </c>
      <c r="O7">
        <v>114</v>
      </c>
      <c r="P7">
        <v>76</v>
      </c>
      <c r="Q7">
        <v>130</v>
      </c>
      <c r="R7">
        <v>1462</v>
      </c>
    </row>
    <row r="8" spans="3:18" x14ac:dyDescent="0.2">
      <c r="D8" t="s">
        <v>13</v>
      </c>
      <c r="E8">
        <v>129</v>
      </c>
      <c r="F8">
        <v>117</v>
      </c>
      <c r="G8">
        <v>102</v>
      </c>
      <c r="H8">
        <v>104</v>
      </c>
      <c r="I8">
        <v>128</v>
      </c>
      <c r="J8">
        <v>126</v>
      </c>
      <c r="K8">
        <v>109</v>
      </c>
      <c r="L8">
        <v>118</v>
      </c>
      <c r="M8">
        <v>109</v>
      </c>
      <c r="N8">
        <v>115</v>
      </c>
      <c r="O8">
        <v>109</v>
      </c>
      <c r="P8">
        <v>97</v>
      </c>
      <c r="Q8">
        <v>115</v>
      </c>
      <c r="R8">
        <v>1478</v>
      </c>
    </row>
    <row r="9" spans="3:18" x14ac:dyDescent="0.2">
      <c r="D9" t="s">
        <v>14</v>
      </c>
      <c r="E9">
        <v>156</v>
      </c>
      <c r="F9">
        <v>118</v>
      </c>
      <c r="G9">
        <v>95</v>
      </c>
      <c r="H9">
        <v>103</v>
      </c>
      <c r="I9">
        <v>135</v>
      </c>
      <c r="J9">
        <v>130</v>
      </c>
      <c r="K9">
        <v>122</v>
      </c>
      <c r="L9">
        <v>145</v>
      </c>
      <c r="M9">
        <v>109</v>
      </c>
      <c r="N9">
        <v>105</v>
      </c>
      <c r="O9">
        <v>144</v>
      </c>
      <c r="P9">
        <v>103</v>
      </c>
      <c r="Q9">
        <v>121</v>
      </c>
      <c r="R9">
        <v>1586</v>
      </c>
    </row>
    <row r="10" spans="3:18" x14ac:dyDescent="0.2">
      <c r="D10" t="s">
        <v>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2" spans="3:18" x14ac:dyDescent="0.2">
      <c r="C12" t="s">
        <v>16</v>
      </c>
      <c r="D12" t="s">
        <v>12</v>
      </c>
      <c r="E12">
        <v>2007</v>
      </c>
      <c r="F12">
        <v>2067</v>
      </c>
      <c r="G12">
        <v>1660</v>
      </c>
      <c r="H12">
        <v>2260</v>
      </c>
      <c r="I12">
        <v>1577</v>
      </c>
      <c r="J12">
        <v>1743</v>
      </c>
      <c r="K12">
        <v>2169</v>
      </c>
      <c r="L12">
        <v>2307</v>
      </c>
      <c r="M12">
        <v>2212</v>
      </c>
      <c r="N12">
        <v>1834</v>
      </c>
      <c r="O12">
        <v>2401</v>
      </c>
      <c r="P12">
        <v>1827</v>
      </c>
      <c r="Q12">
        <v>2182</v>
      </c>
      <c r="R12">
        <v>26246</v>
      </c>
    </row>
    <row r="13" spans="3:18" x14ac:dyDescent="0.2">
      <c r="D13" t="s">
        <v>13</v>
      </c>
      <c r="E13">
        <v>2269</v>
      </c>
      <c r="F13">
        <v>2004</v>
      </c>
      <c r="G13">
        <v>1641</v>
      </c>
      <c r="H13">
        <v>1699</v>
      </c>
      <c r="I13">
        <v>2016</v>
      </c>
      <c r="J13">
        <v>2241</v>
      </c>
      <c r="K13">
        <v>1731</v>
      </c>
      <c r="L13">
        <v>2328</v>
      </c>
      <c r="M13">
        <v>1957</v>
      </c>
      <c r="N13">
        <v>1957</v>
      </c>
      <c r="O13">
        <v>1822</v>
      </c>
      <c r="P13">
        <v>2182</v>
      </c>
      <c r="Q13">
        <v>2141</v>
      </c>
      <c r="R13">
        <v>25988</v>
      </c>
    </row>
    <row r="14" spans="3:18" x14ac:dyDescent="0.2">
      <c r="D14" t="s">
        <v>14</v>
      </c>
      <c r="E14">
        <v>2702</v>
      </c>
      <c r="F14">
        <v>2093</v>
      </c>
      <c r="G14">
        <v>1772</v>
      </c>
      <c r="H14">
        <v>1816</v>
      </c>
      <c r="I14">
        <v>1841</v>
      </c>
      <c r="J14">
        <v>2037</v>
      </c>
      <c r="K14">
        <v>1769</v>
      </c>
      <c r="L14">
        <v>2585</v>
      </c>
      <c r="M14">
        <v>2175</v>
      </c>
      <c r="N14">
        <v>1693</v>
      </c>
      <c r="O14">
        <v>3398</v>
      </c>
      <c r="P14">
        <v>2537</v>
      </c>
      <c r="Q14">
        <v>2280</v>
      </c>
      <c r="R14">
        <v>28698</v>
      </c>
    </row>
    <row r="15" spans="3:18" x14ac:dyDescent="0.2">
      <c r="D15" t="s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7" spans="3:18" x14ac:dyDescent="0.2">
      <c r="C17" t="s">
        <v>17</v>
      </c>
      <c r="D17" t="s">
        <v>12</v>
      </c>
      <c r="E17">
        <v>15.55813953488372</v>
      </c>
      <c r="F17">
        <v>17.516949152542374</v>
      </c>
      <c r="G17">
        <v>16.274509803921568</v>
      </c>
      <c r="H17">
        <v>18.225806451612904</v>
      </c>
      <c r="I17">
        <v>15.929292929292929</v>
      </c>
      <c r="J17">
        <v>15.845454545454546</v>
      </c>
      <c r="K17">
        <v>18.074999999999999</v>
      </c>
      <c r="L17">
        <v>19.06611570247934</v>
      </c>
      <c r="M17">
        <v>20.672897196261683</v>
      </c>
      <c r="N17">
        <v>16.375</v>
      </c>
      <c r="O17">
        <v>21.061403508771932</v>
      </c>
      <c r="P17">
        <v>24.039473684210527</v>
      </c>
      <c r="Q17">
        <v>16.784615384615385</v>
      </c>
      <c r="R17">
        <v>17.952120383036934</v>
      </c>
    </row>
    <row r="18" spans="3:18" x14ac:dyDescent="0.2">
      <c r="D18" t="s">
        <v>13</v>
      </c>
      <c r="E18">
        <v>17.589147286821706</v>
      </c>
      <c r="F18">
        <v>17.128205128205128</v>
      </c>
      <c r="G18">
        <v>16.088235294117649</v>
      </c>
      <c r="H18">
        <v>16.33653846153846</v>
      </c>
      <c r="I18">
        <v>15.75</v>
      </c>
      <c r="J18">
        <v>17.785714285714285</v>
      </c>
      <c r="K18">
        <v>15.880733944954128</v>
      </c>
      <c r="L18">
        <v>19.728813559322035</v>
      </c>
      <c r="M18">
        <v>17.954128440366972</v>
      </c>
      <c r="N18">
        <v>17.017391304347825</v>
      </c>
      <c r="O18">
        <v>16.715596330275229</v>
      </c>
      <c r="P18">
        <v>22.494845360824741</v>
      </c>
      <c r="Q18">
        <v>18.617391304347827</v>
      </c>
      <c r="R18">
        <v>17.583220568335587</v>
      </c>
    </row>
    <row r="19" spans="3:18" x14ac:dyDescent="0.2">
      <c r="D19" t="s">
        <v>14</v>
      </c>
      <c r="E19">
        <v>17.320512820512821</v>
      </c>
      <c r="F19">
        <v>17.737288135593221</v>
      </c>
      <c r="G19">
        <v>18.652631578947368</v>
      </c>
      <c r="H19">
        <v>17.631067961165048</v>
      </c>
      <c r="I19">
        <v>13.637037037037038</v>
      </c>
      <c r="J19">
        <v>15.669230769230769</v>
      </c>
      <c r="K19">
        <v>14.5</v>
      </c>
      <c r="L19">
        <v>17.827586206896552</v>
      </c>
      <c r="M19">
        <v>19.954128440366972</v>
      </c>
      <c r="N19">
        <v>16.123809523809523</v>
      </c>
      <c r="O19">
        <v>23.597222222222221</v>
      </c>
      <c r="P19">
        <v>24.631067961165048</v>
      </c>
      <c r="Q19">
        <v>18.84297520661157</v>
      </c>
      <c r="R19">
        <v>18.094577553593947</v>
      </c>
    </row>
    <row r="20" spans="3:18" x14ac:dyDescent="0.2">
      <c r="D20" t="s">
        <v>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2" spans="3:18" x14ac:dyDescent="0.2">
      <c r="C22" t="s">
        <v>18</v>
      </c>
      <c r="D22" t="s">
        <v>12</v>
      </c>
      <c r="E22">
        <v>45</v>
      </c>
      <c r="F22">
        <v>48</v>
      </c>
      <c r="G22">
        <v>42</v>
      </c>
      <c r="H22">
        <v>47</v>
      </c>
      <c r="I22">
        <v>35</v>
      </c>
      <c r="J22">
        <v>42</v>
      </c>
      <c r="K22">
        <v>46</v>
      </c>
      <c r="L22">
        <v>48</v>
      </c>
      <c r="M22">
        <v>53</v>
      </c>
      <c r="N22">
        <v>48</v>
      </c>
      <c r="O22">
        <v>57</v>
      </c>
      <c r="P22">
        <v>39</v>
      </c>
      <c r="Q22">
        <v>49</v>
      </c>
      <c r="R22">
        <v>599</v>
      </c>
    </row>
    <row r="23" spans="3:18" x14ac:dyDescent="0.2">
      <c r="D23" t="s">
        <v>13</v>
      </c>
      <c r="E23">
        <v>45</v>
      </c>
      <c r="F23">
        <v>57</v>
      </c>
      <c r="G23">
        <v>41</v>
      </c>
      <c r="H23">
        <v>37</v>
      </c>
      <c r="I23">
        <v>48</v>
      </c>
      <c r="J23">
        <v>50</v>
      </c>
      <c r="K23">
        <v>37</v>
      </c>
      <c r="L23">
        <v>57</v>
      </c>
      <c r="M23">
        <v>42</v>
      </c>
      <c r="N23">
        <v>51</v>
      </c>
      <c r="O23">
        <v>48</v>
      </c>
      <c r="P23">
        <v>45</v>
      </c>
      <c r="Q23">
        <v>48</v>
      </c>
      <c r="R23">
        <v>606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AT274"/>
  <sheetViews>
    <sheetView workbookViewId="0"/>
  </sheetViews>
  <sheetFormatPr defaultRowHeight="12.75" x14ac:dyDescent="0.2"/>
  <cols>
    <col min="4" max="4" width="51.28515625" bestFit="1" customWidth="1"/>
  </cols>
  <sheetData>
    <row r="5" spans="2:46" x14ac:dyDescent="0.2">
      <c r="E5" s="63">
        <v>45566</v>
      </c>
      <c r="F5" s="63">
        <v>45566</v>
      </c>
      <c r="G5" s="63">
        <v>45566</v>
      </c>
      <c r="H5" s="63">
        <v>45597</v>
      </c>
      <c r="I5" s="63">
        <v>45597</v>
      </c>
      <c r="J5" s="63">
        <v>45597</v>
      </c>
      <c r="K5" s="63">
        <v>45627</v>
      </c>
      <c r="L5" s="63">
        <v>45627</v>
      </c>
      <c r="M5" s="63">
        <v>45627</v>
      </c>
      <c r="N5" s="63">
        <v>45658</v>
      </c>
      <c r="O5" s="63">
        <v>45658</v>
      </c>
      <c r="P5" s="63">
        <v>45658</v>
      </c>
      <c r="Q5" s="63">
        <v>45689</v>
      </c>
      <c r="R5" s="63">
        <v>45689</v>
      </c>
      <c r="S5" s="63">
        <v>45689</v>
      </c>
      <c r="T5" s="63">
        <v>45717</v>
      </c>
      <c r="U5" s="63">
        <v>45717</v>
      </c>
      <c r="V5" s="63">
        <v>45717</v>
      </c>
      <c r="W5" s="63">
        <v>45748</v>
      </c>
      <c r="X5" s="63">
        <v>45748</v>
      </c>
      <c r="Y5" s="63">
        <v>45748</v>
      </c>
      <c r="Z5" s="63">
        <v>45778</v>
      </c>
      <c r="AA5" s="63">
        <v>45778</v>
      </c>
      <c r="AB5" s="63">
        <v>45778</v>
      </c>
      <c r="AC5" s="63">
        <v>45809</v>
      </c>
      <c r="AD5" s="63">
        <v>45809</v>
      </c>
      <c r="AE5" s="63">
        <v>45809</v>
      </c>
      <c r="AF5" s="63">
        <v>45839</v>
      </c>
      <c r="AG5" s="63">
        <v>45839</v>
      </c>
      <c r="AH5" s="63">
        <v>45839</v>
      </c>
      <c r="AI5" s="63">
        <v>45870</v>
      </c>
      <c r="AJ5" s="63">
        <v>45870</v>
      </c>
      <c r="AK5" s="63">
        <v>45870</v>
      </c>
      <c r="AL5" s="63">
        <v>45901</v>
      </c>
      <c r="AM5" s="63">
        <v>45901</v>
      </c>
      <c r="AN5" s="63">
        <v>45901</v>
      </c>
      <c r="AO5" s="63">
        <v>45931</v>
      </c>
      <c r="AP5" s="63">
        <v>45931</v>
      </c>
      <c r="AQ5" s="63">
        <v>45931</v>
      </c>
      <c r="AR5" t="s">
        <v>10</v>
      </c>
      <c r="AS5" t="s">
        <v>10</v>
      </c>
      <c r="AT5" t="s">
        <v>10</v>
      </c>
    </row>
    <row r="6" spans="2:46" x14ac:dyDescent="0.2">
      <c r="D6" t="s">
        <v>6</v>
      </c>
      <c r="E6" t="s">
        <v>12</v>
      </c>
      <c r="F6" t="s">
        <v>13</v>
      </c>
      <c r="G6" t="s">
        <v>0</v>
      </c>
      <c r="H6" t="s">
        <v>12</v>
      </c>
      <c r="I6" t="s">
        <v>13</v>
      </c>
      <c r="J6" t="s">
        <v>0</v>
      </c>
      <c r="K6" t="s">
        <v>12</v>
      </c>
      <c r="L6" t="s">
        <v>13</v>
      </c>
      <c r="M6" t="s">
        <v>0</v>
      </c>
      <c r="N6" t="s">
        <v>12</v>
      </c>
      <c r="O6" t="s">
        <v>13</v>
      </c>
      <c r="P6" t="s">
        <v>0</v>
      </c>
      <c r="Q6" t="s">
        <v>12</v>
      </c>
      <c r="R6" t="s">
        <v>13</v>
      </c>
      <c r="S6" t="s">
        <v>0</v>
      </c>
      <c r="T6" t="s">
        <v>12</v>
      </c>
      <c r="U6" t="s">
        <v>13</v>
      </c>
      <c r="V6" t="s">
        <v>0</v>
      </c>
      <c r="W6" t="s">
        <v>12</v>
      </c>
      <c r="X6" t="s">
        <v>13</v>
      </c>
      <c r="Y6" t="s">
        <v>0</v>
      </c>
      <c r="Z6" t="s">
        <v>12</v>
      </c>
      <c r="AA6" t="s">
        <v>13</v>
      </c>
      <c r="AB6" t="s">
        <v>0</v>
      </c>
      <c r="AC6" t="s">
        <v>12</v>
      </c>
      <c r="AD6" t="s">
        <v>13</v>
      </c>
      <c r="AE6" t="s">
        <v>0</v>
      </c>
      <c r="AF6" t="s">
        <v>12</v>
      </c>
      <c r="AG6" t="s">
        <v>13</v>
      </c>
      <c r="AH6" t="s">
        <v>0</v>
      </c>
      <c r="AI6" t="s">
        <v>12</v>
      </c>
      <c r="AJ6" t="s">
        <v>13</v>
      </c>
      <c r="AK6" t="s">
        <v>0</v>
      </c>
      <c r="AL6" t="s">
        <v>12</v>
      </c>
      <c r="AM6" t="s">
        <v>13</v>
      </c>
      <c r="AN6" t="s">
        <v>0</v>
      </c>
      <c r="AO6" t="s">
        <v>12</v>
      </c>
      <c r="AP6" t="s">
        <v>13</v>
      </c>
      <c r="AQ6" t="s">
        <v>0</v>
      </c>
      <c r="AR6" t="s">
        <v>12</v>
      </c>
      <c r="AS6" t="s">
        <v>13</v>
      </c>
      <c r="AT6" t="s">
        <v>0</v>
      </c>
    </row>
    <row r="7" spans="2:46" x14ac:dyDescent="0.2">
      <c r="B7">
        <v>14</v>
      </c>
      <c r="C7">
        <v>1</v>
      </c>
      <c r="D7" t="s">
        <v>48</v>
      </c>
      <c r="E7">
        <v>6</v>
      </c>
      <c r="F7">
        <v>6</v>
      </c>
      <c r="G7">
        <v>12</v>
      </c>
      <c r="H7">
        <v>11</v>
      </c>
      <c r="I7">
        <v>8</v>
      </c>
      <c r="J7">
        <v>19</v>
      </c>
      <c r="K7">
        <v>14</v>
      </c>
      <c r="L7">
        <v>7</v>
      </c>
      <c r="M7">
        <v>21</v>
      </c>
      <c r="N7">
        <v>1</v>
      </c>
      <c r="O7">
        <v>8</v>
      </c>
      <c r="P7">
        <v>9</v>
      </c>
      <c r="Q7">
        <v>9</v>
      </c>
      <c r="R7">
        <v>11</v>
      </c>
      <c r="S7">
        <v>20</v>
      </c>
      <c r="T7">
        <v>5</v>
      </c>
      <c r="U7">
        <v>5</v>
      </c>
      <c r="V7">
        <v>10</v>
      </c>
      <c r="W7">
        <v>6</v>
      </c>
      <c r="X7">
        <v>12</v>
      </c>
      <c r="Y7">
        <v>18</v>
      </c>
      <c r="Z7">
        <v>9</v>
      </c>
      <c r="AA7">
        <v>7</v>
      </c>
      <c r="AB7">
        <v>16</v>
      </c>
      <c r="AC7">
        <v>8</v>
      </c>
      <c r="AD7">
        <v>5</v>
      </c>
      <c r="AE7">
        <v>13</v>
      </c>
      <c r="AF7">
        <v>3</v>
      </c>
      <c r="AG7">
        <v>7</v>
      </c>
      <c r="AH7">
        <v>10</v>
      </c>
      <c r="AI7">
        <v>6</v>
      </c>
      <c r="AJ7">
        <v>8</v>
      </c>
      <c r="AK7">
        <v>14</v>
      </c>
      <c r="AL7">
        <v>1</v>
      </c>
      <c r="AM7">
        <v>3</v>
      </c>
      <c r="AN7">
        <v>4</v>
      </c>
      <c r="AO7">
        <v>7</v>
      </c>
      <c r="AP7">
        <v>8</v>
      </c>
      <c r="AQ7">
        <v>15</v>
      </c>
      <c r="AR7">
        <v>55</v>
      </c>
      <c r="AS7">
        <v>74</v>
      </c>
      <c r="AT7">
        <v>129</v>
      </c>
    </row>
    <row r="8" spans="2:46" x14ac:dyDescent="0.2">
      <c r="B8">
        <v>13</v>
      </c>
      <c r="C8">
        <v>2</v>
      </c>
      <c r="D8" t="s">
        <v>50</v>
      </c>
      <c r="E8">
        <v>10</v>
      </c>
      <c r="F8">
        <v>9</v>
      </c>
      <c r="G8">
        <v>19</v>
      </c>
      <c r="H8">
        <v>8</v>
      </c>
      <c r="I8">
        <v>12</v>
      </c>
      <c r="J8">
        <v>20</v>
      </c>
      <c r="K8">
        <v>6</v>
      </c>
      <c r="L8">
        <v>8</v>
      </c>
      <c r="M8">
        <v>14</v>
      </c>
      <c r="N8">
        <v>10</v>
      </c>
      <c r="O8">
        <v>8</v>
      </c>
      <c r="P8">
        <v>18</v>
      </c>
      <c r="Q8">
        <v>5</v>
      </c>
      <c r="R8">
        <v>9</v>
      </c>
      <c r="S8">
        <v>14</v>
      </c>
      <c r="T8">
        <v>7</v>
      </c>
      <c r="U8">
        <v>5</v>
      </c>
      <c r="V8">
        <v>12</v>
      </c>
      <c r="W8">
        <v>8</v>
      </c>
      <c r="X8">
        <v>6</v>
      </c>
      <c r="Y8">
        <v>14</v>
      </c>
      <c r="Z8">
        <v>9</v>
      </c>
      <c r="AA8">
        <v>5</v>
      </c>
      <c r="AB8">
        <v>14</v>
      </c>
      <c r="AC8">
        <v>3</v>
      </c>
      <c r="AD8">
        <v>5</v>
      </c>
      <c r="AE8">
        <v>8</v>
      </c>
      <c r="AF8">
        <v>6</v>
      </c>
      <c r="AG8">
        <v>9</v>
      </c>
      <c r="AH8">
        <v>15</v>
      </c>
      <c r="AI8">
        <v>9</v>
      </c>
      <c r="AJ8">
        <v>8</v>
      </c>
      <c r="AK8">
        <v>17</v>
      </c>
      <c r="AL8">
        <v>6</v>
      </c>
      <c r="AM8">
        <v>2</v>
      </c>
      <c r="AN8">
        <v>8</v>
      </c>
      <c r="AO8">
        <v>9</v>
      </c>
      <c r="AP8">
        <v>8</v>
      </c>
      <c r="AQ8">
        <v>17</v>
      </c>
      <c r="AR8">
        <v>72</v>
      </c>
      <c r="AS8">
        <v>65</v>
      </c>
      <c r="AT8">
        <v>137</v>
      </c>
    </row>
    <row r="9" spans="2:46" x14ac:dyDescent="0.2">
      <c r="B9">
        <v>1</v>
      </c>
      <c r="C9">
        <v>3</v>
      </c>
      <c r="D9" t="s">
        <v>52</v>
      </c>
      <c r="E9">
        <v>20</v>
      </c>
      <c r="F9">
        <v>13</v>
      </c>
      <c r="G9">
        <v>33</v>
      </c>
      <c r="H9">
        <v>15</v>
      </c>
      <c r="I9">
        <v>18</v>
      </c>
      <c r="J9">
        <v>33</v>
      </c>
      <c r="K9">
        <v>12</v>
      </c>
      <c r="L9">
        <v>11</v>
      </c>
      <c r="M9">
        <v>23</v>
      </c>
      <c r="N9">
        <v>18</v>
      </c>
      <c r="O9">
        <v>14</v>
      </c>
      <c r="P9">
        <v>32</v>
      </c>
      <c r="Q9">
        <v>17</v>
      </c>
      <c r="R9">
        <v>17</v>
      </c>
      <c r="S9">
        <v>34</v>
      </c>
      <c r="T9">
        <v>14</v>
      </c>
      <c r="U9">
        <v>17</v>
      </c>
      <c r="V9">
        <v>31</v>
      </c>
      <c r="W9">
        <v>19</v>
      </c>
      <c r="X9">
        <v>15</v>
      </c>
      <c r="Y9">
        <v>34</v>
      </c>
      <c r="Z9">
        <v>8</v>
      </c>
      <c r="AA9">
        <v>13</v>
      </c>
      <c r="AB9">
        <v>21</v>
      </c>
      <c r="AC9">
        <v>19</v>
      </c>
      <c r="AD9">
        <v>15</v>
      </c>
      <c r="AE9">
        <v>34</v>
      </c>
      <c r="AF9">
        <v>14</v>
      </c>
      <c r="AG9">
        <v>19</v>
      </c>
      <c r="AH9">
        <v>33</v>
      </c>
      <c r="AI9">
        <v>16</v>
      </c>
      <c r="AJ9">
        <v>15</v>
      </c>
      <c r="AK9">
        <v>31</v>
      </c>
      <c r="AL9">
        <v>9</v>
      </c>
      <c r="AM9">
        <v>18</v>
      </c>
      <c r="AN9">
        <v>27</v>
      </c>
      <c r="AO9">
        <v>24</v>
      </c>
      <c r="AP9">
        <v>16</v>
      </c>
      <c r="AQ9">
        <v>40</v>
      </c>
      <c r="AR9">
        <v>158</v>
      </c>
      <c r="AS9">
        <v>159</v>
      </c>
      <c r="AT9">
        <v>317</v>
      </c>
    </row>
    <row r="10" spans="2:46" x14ac:dyDescent="0.2">
      <c r="B10">
        <v>8</v>
      </c>
      <c r="C10">
        <v>4</v>
      </c>
      <c r="D10" t="s">
        <v>54</v>
      </c>
      <c r="E10">
        <v>3</v>
      </c>
      <c r="F10">
        <v>10</v>
      </c>
      <c r="G10">
        <v>13</v>
      </c>
      <c r="H10">
        <v>10</v>
      </c>
      <c r="I10">
        <v>4</v>
      </c>
      <c r="J10">
        <v>14</v>
      </c>
      <c r="K10">
        <v>7</v>
      </c>
      <c r="L10">
        <v>10</v>
      </c>
      <c r="M10">
        <v>17</v>
      </c>
      <c r="N10">
        <v>4</v>
      </c>
      <c r="O10">
        <v>12</v>
      </c>
      <c r="P10">
        <v>16</v>
      </c>
      <c r="Q10">
        <v>10</v>
      </c>
      <c r="R10">
        <v>11</v>
      </c>
      <c r="S10">
        <v>21</v>
      </c>
      <c r="T10">
        <v>4</v>
      </c>
      <c r="U10">
        <v>5</v>
      </c>
      <c r="V10">
        <v>9</v>
      </c>
      <c r="W10">
        <v>6</v>
      </c>
      <c r="X10">
        <v>9</v>
      </c>
      <c r="Y10">
        <v>15</v>
      </c>
      <c r="Z10">
        <v>9</v>
      </c>
      <c r="AA10">
        <v>10</v>
      </c>
      <c r="AB10">
        <v>19</v>
      </c>
      <c r="AC10">
        <v>6</v>
      </c>
      <c r="AD10">
        <v>8</v>
      </c>
      <c r="AE10">
        <v>14</v>
      </c>
      <c r="AF10">
        <v>8</v>
      </c>
      <c r="AG10">
        <v>5</v>
      </c>
      <c r="AH10">
        <v>13</v>
      </c>
      <c r="AI10">
        <v>4</v>
      </c>
      <c r="AJ10">
        <v>8</v>
      </c>
      <c r="AK10">
        <v>12</v>
      </c>
      <c r="AL10">
        <v>6</v>
      </c>
      <c r="AM10">
        <v>8</v>
      </c>
      <c r="AN10">
        <v>14</v>
      </c>
      <c r="AO10">
        <v>11</v>
      </c>
      <c r="AP10">
        <v>4</v>
      </c>
      <c r="AQ10">
        <v>15</v>
      </c>
      <c r="AR10">
        <v>68</v>
      </c>
      <c r="AS10">
        <v>80</v>
      </c>
      <c r="AT10">
        <v>148</v>
      </c>
    </row>
    <row r="11" spans="2:46" x14ac:dyDescent="0.2">
      <c r="B11">
        <v>9</v>
      </c>
      <c r="C11">
        <v>5</v>
      </c>
      <c r="D11" t="s">
        <v>56</v>
      </c>
      <c r="E11">
        <v>4</v>
      </c>
      <c r="F11">
        <v>9</v>
      </c>
      <c r="G11">
        <v>13</v>
      </c>
      <c r="H11">
        <v>4</v>
      </c>
      <c r="I11">
        <v>5</v>
      </c>
      <c r="J11">
        <v>9</v>
      </c>
      <c r="K11">
        <v>8</v>
      </c>
      <c r="L11">
        <v>8</v>
      </c>
      <c r="M11">
        <v>16</v>
      </c>
      <c r="N11">
        <v>15</v>
      </c>
      <c r="O11">
        <v>3</v>
      </c>
      <c r="P11">
        <v>18</v>
      </c>
      <c r="Q11">
        <v>6</v>
      </c>
      <c r="R11">
        <v>9</v>
      </c>
      <c r="S11">
        <v>15</v>
      </c>
      <c r="T11">
        <v>5</v>
      </c>
      <c r="U11">
        <v>9</v>
      </c>
      <c r="V11">
        <v>14</v>
      </c>
      <c r="W11">
        <v>7</v>
      </c>
      <c r="X11">
        <v>6</v>
      </c>
      <c r="Y11">
        <v>13</v>
      </c>
      <c r="Z11">
        <v>7</v>
      </c>
      <c r="AA11">
        <v>5</v>
      </c>
      <c r="AB11">
        <v>12</v>
      </c>
      <c r="AC11">
        <v>9</v>
      </c>
      <c r="AD11">
        <v>14</v>
      </c>
      <c r="AE11">
        <v>23</v>
      </c>
      <c r="AF11">
        <v>7</v>
      </c>
      <c r="AG11">
        <v>8</v>
      </c>
      <c r="AH11">
        <v>15</v>
      </c>
      <c r="AI11">
        <v>9</v>
      </c>
      <c r="AJ11">
        <v>5</v>
      </c>
      <c r="AK11">
        <v>14</v>
      </c>
      <c r="AL11">
        <v>8</v>
      </c>
      <c r="AM11">
        <v>2</v>
      </c>
      <c r="AN11">
        <v>10</v>
      </c>
      <c r="AO11">
        <v>6</v>
      </c>
      <c r="AP11">
        <v>5</v>
      </c>
      <c r="AQ11">
        <v>11</v>
      </c>
      <c r="AR11">
        <v>79</v>
      </c>
      <c r="AS11">
        <v>66</v>
      </c>
      <c r="AT11">
        <v>145</v>
      </c>
    </row>
    <row r="12" spans="2:46" x14ac:dyDescent="0.2">
      <c r="B12">
        <v>6</v>
      </c>
      <c r="C12">
        <v>6</v>
      </c>
      <c r="D12" t="s">
        <v>58</v>
      </c>
      <c r="E12">
        <v>8</v>
      </c>
      <c r="F12">
        <v>6</v>
      </c>
      <c r="G12">
        <v>14</v>
      </c>
      <c r="H12">
        <v>7</v>
      </c>
      <c r="I12">
        <v>6</v>
      </c>
      <c r="J12">
        <v>13</v>
      </c>
      <c r="K12">
        <v>8</v>
      </c>
      <c r="L12">
        <v>6</v>
      </c>
      <c r="M12">
        <v>14</v>
      </c>
      <c r="N12">
        <v>8</v>
      </c>
      <c r="O12">
        <v>4</v>
      </c>
      <c r="P12">
        <v>12</v>
      </c>
      <c r="Q12">
        <v>7</v>
      </c>
      <c r="R12">
        <v>8</v>
      </c>
      <c r="S12">
        <v>15</v>
      </c>
      <c r="T12">
        <v>6</v>
      </c>
      <c r="U12">
        <v>5</v>
      </c>
      <c r="V12">
        <v>11</v>
      </c>
      <c r="W12">
        <v>9</v>
      </c>
      <c r="X12">
        <v>5</v>
      </c>
      <c r="Y12">
        <v>14</v>
      </c>
      <c r="Z12">
        <v>13</v>
      </c>
      <c r="AA12">
        <v>9</v>
      </c>
      <c r="AB12">
        <v>22</v>
      </c>
      <c r="AC12">
        <v>6</v>
      </c>
      <c r="AD12">
        <v>9</v>
      </c>
      <c r="AE12">
        <v>15</v>
      </c>
      <c r="AF12">
        <v>7</v>
      </c>
      <c r="AG12">
        <v>14</v>
      </c>
      <c r="AH12">
        <v>21</v>
      </c>
      <c r="AI12">
        <v>6</v>
      </c>
      <c r="AJ12">
        <v>6</v>
      </c>
      <c r="AK12">
        <v>12</v>
      </c>
      <c r="AL12">
        <v>10</v>
      </c>
      <c r="AM12">
        <v>6</v>
      </c>
      <c r="AN12">
        <v>16</v>
      </c>
      <c r="AO12">
        <v>7</v>
      </c>
      <c r="AP12">
        <v>6</v>
      </c>
      <c r="AQ12">
        <v>13</v>
      </c>
      <c r="AR12">
        <v>79</v>
      </c>
      <c r="AS12">
        <v>72</v>
      </c>
      <c r="AT12">
        <v>151</v>
      </c>
    </row>
    <row r="13" spans="2:46" x14ac:dyDescent="0.2">
      <c r="B13">
        <v>12</v>
      </c>
      <c r="C13">
        <v>7</v>
      </c>
      <c r="D13" t="s">
        <v>60</v>
      </c>
      <c r="E13">
        <v>6</v>
      </c>
      <c r="F13">
        <v>10</v>
      </c>
      <c r="G13">
        <v>16</v>
      </c>
      <c r="H13">
        <v>7</v>
      </c>
      <c r="I13">
        <v>12</v>
      </c>
      <c r="J13">
        <v>19</v>
      </c>
      <c r="K13">
        <v>9</v>
      </c>
      <c r="L13">
        <v>8</v>
      </c>
      <c r="M13">
        <v>17</v>
      </c>
      <c r="N13">
        <v>10</v>
      </c>
      <c r="O13">
        <v>7</v>
      </c>
      <c r="P13">
        <v>17</v>
      </c>
      <c r="Q13">
        <v>5</v>
      </c>
      <c r="R13">
        <v>7</v>
      </c>
      <c r="S13">
        <v>12</v>
      </c>
      <c r="T13">
        <v>9</v>
      </c>
      <c r="U13">
        <v>4</v>
      </c>
      <c r="V13">
        <v>13</v>
      </c>
      <c r="W13">
        <v>3</v>
      </c>
      <c r="X13">
        <v>3</v>
      </c>
      <c r="Y13">
        <v>6</v>
      </c>
      <c r="Z13">
        <v>7</v>
      </c>
      <c r="AA13">
        <v>9</v>
      </c>
      <c r="AB13">
        <v>16</v>
      </c>
      <c r="AC13">
        <v>8</v>
      </c>
      <c r="AD13">
        <v>8</v>
      </c>
      <c r="AE13">
        <v>16</v>
      </c>
      <c r="AF13">
        <v>12</v>
      </c>
      <c r="AG13">
        <v>9</v>
      </c>
      <c r="AH13">
        <v>21</v>
      </c>
      <c r="AI13">
        <v>7</v>
      </c>
      <c r="AJ13">
        <v>4</v>
      </c>
      <c r="AK13">
        <v>11</v>
      </c>
      <c r="AL13">
        <v>1</v>
      </c>
      <c r="AM13">
        <v>7</v>
      </c>
      <c r="AN13">
        <v>8</v>
      </c>
      <c r="AO13">
        <v>10</v>
      </c>
      <c r="AP13">
        <v>7</v>
      </c>
      <c r="AQ13">
        <v>17</v>
      </c>
      <c r="AR13">
        <v>72</v>
      </c>
      <c r="AS13">
        <v>65</v>
      </c>
      <c r="AT13">
        <v>137</v>
      </c>
    </row>
    <row r="14" spans="2:46" x14ac:dyDescent="0.2">
      <c r="B14">
        <v>10</v>
      </c>
      <c r="C14">
        <v>8</v>
      </c>
      <c r="D14" t="s">
        <v>62</v>
      </c>
      <c r="E14">
        <v>7</v>
      </c>
      <c r="F14">
        <v>10</v>
      </c>
      <c r="G14">
        <v>17</v>
      </c>
      <c r="H14">
        <v>9</v>
      </c>
      <c r="I14">
        <v>11</v>
      </c>
      <c r="J14">
        <v>20</v>
      </c>
      <c r="K14">
        <v>5</v>
      </c>
      <c r="L14">
        <v>7</v>
      </c>
      <c r="M14">
        <v>12</v>
      </c>
      <c r="N14">
        <v>8</v>
      </c>
      <c r="O14">
        <v>8</v>
      </c>
      <c r="P14">
        <v>16</v>
      </c>
      <c r="Q14">
        <v>2</v>
      </c>
      <c r="R14">
        <v>5</v>
      </c>
      <c r="S14">
        <v>7</v>
      </c>
      <c r="T14">
        <v>9</v>
      </c>
      <c r="U14">
        <v>19</v>
      </c>
      <c r="V14">
        <v>28</v>
      </c>
      <c r="W14">
        <v>5</v>
      </c>
      <c r="X14">
        <v>3</v>
      </c>
      <c r="Y14">
        <v>8</v>
      </c>
      <c r="Z14">
        <v>8</v>
      </c>
      <c r="AA14">
        <v>9</v>
      </c>
      <c r="AB14">
        <v>17</v>
      </c>
      <c r="AC14">
        <v>5</v>
      </c>
      <c r="AD14">
        <v>4</v>
      </c>
      <c r="AE14">
        <v>9</v>
      </c>
      <c r="AF14">
        <v>14</v>
      </c>
      <c r="AG14">
        <v>6</v>
      </c>
      <c r="AH14">
        <v>20</v>
      </c>
      <c r="AI14">
        <v>9</v>
      </c>
      <c r="AJ14">
        <v>8</v>
      </c>
      <c r="AK14">
        <v>17</v>
      </c>
      <c r="AL14">
        <v>5</v>
      </c>
      <c r="AM14">
        <v>7</v>
      </c>
      <c r="AN14">
        <v>12</v>
      </c>
      <c r="AO14">
        <v>3</v>
      </c>
      <c r="AP14">
        <v>7</v>
      </c>
      <c r="AQ14">
        <v>10</v>
      </c>
      <c r="AR14">
        <v>68</v>
      </c>
      <c r="AS14">
        <v>76</v>
      </c>
      <c r="AT14">
        <v>144</v>
      </c>
    </row>
    <row r="15" spans="2:46" x14ac:dyDescent="0.2">
      <c r="B15">
        <v>4</v>
      </c>
      <c r="C15">
        <v>9</v>
      </c>
      <c r="D15" t="s">
        <v>64</v>
      </c>
      <c r="E15">
        <v>12</v>
      </c>
      <c r="F15">
        <v>11</v>
      </c>
      <c r="G15">
        <v>23</v>
      </c>
      <c r="H15">
        <v>7</v>
      </c>
      <c r="I15">
        <v>11</v>
      </c>
      <c r="J15">
        <v>18</v>
      </c>
      <c r="K15">
        <v>7</v>
      </c>
      <c r="L15">
        <v>5</v>
      </c>
      <c r="M15">
        <v>12</v>
      </c>
      <c r="N15">
        <v>8</v>
      </c>
      <c r="O15">
        <v>9</v>
      </c>
      <c r="P15">
        <v>17</v>
      </c>
      <c r="Q15">
        <v>5</v>
      </c>
      <c r="R15">
        <v>5</v>
      </c>
      <c r="S15">
        <v>10</v>
      </c>
      <c r="T15">
        <v>7</v>
      </c>
      <c r="U15">
        <v>10</v>
      </c>
      <c r="V15">
        <v>17</v>
      </c>
      <c r="W15">
        <v>11</v>
      </c>
      <c r="X15">
        <v>9</v>
      </c>
      <c r="Y15">
        <v>20</v>
      </c>
      <c r="Z15">
        <v>7</v>
      </c>
      <c r="AA15">
        <v>8</v>
      </c>
      <c r="AB15">
        <v>15</v>
      </c>
      <c r="AC15">
        <v>5</v>
      </c>
      <c r="AD15">
        <v>7</v>
      </c>
      <c r="AE15">
        <v>12</v>
      </c>
      <c r="AF15">
        <v>6</v>
      </c>
      <c r="AG15">
        <v>8</v>
      </c>
      <c r="AH15">
        <v>14</v>
      </c>
      <c r="AI15">
        <v>12</v>
      </c>
      <c r="AJ15">
        <v>6</v>
      </c>
      <c r="AK15">
        <v>18</v>
      </c>
      <c r="AL15">
        <v>4</v>
      </c>
      <c r="AM15">
        <v>8</v>
      </c>
      <c r="AN15">
        <v>12</v>
      </c>
      <c r="AO15">
        <v>12</v>
      </c>
      <c r="AP15">
        <v>7</v>
      </c>
      <c r="AQ15">
        <v>19</v>
      </c>
      <c r="AR15">
        <v>77</v>
      </c>
      <c r="AS15">
        <v>77</v>
      </c>
      <c r="AT15">
        <v>154</v>
      </c>
    </row>
    <row r="16" spans="2:46" x14ac:dyDescent="0.2">
      <c r="B16">
        <v>7</v>
      </c>
      <c r="C16">
        <v>10</v>
      </c>
      <c r="D16" t="s">
        <v>66</v>
      </c>
      <c r="E16">
        <v>12</v>
      </c>
      <c r="F16">
        <v>10</v>
      </c>
      <c r="G16">
        <v>22</v>
      </c>
      <c r="H16">
        <v>8</v>
      </c>
      <c r="I16">
        <v>4</v>
      </c>
      <c r="J16">
        <v>12</v>
      </c>
      <c r="K16">
        <v>6</v>
      </c>
      <c r="L16">
        <v>6</v>
      </c>
      <c r="M16">
        <v>12</v>
      </c>
      <c r="N16">
        <v>9</v>
      </c>
      <c r="O16">
        <v>6</v>
      </c>
      <c r="P16">
        <v>15</v>
      </c>
      <c r="Q16">
        <v>6</v>
      </c>
      <c r="R16">
        <v>10</v>
      </c>
      <c r="S16">
        <v>16</v>
      </c>
      <c r="T16">
        <v>6</v>
      </c>
      <c r="U16">
        <v>9</v>
      </c>
      <c r="V16">
        <v>15</v>
      </c>
      <c r="W16">
        <v>13</v>
      </c>
      <c r="X16">
        <v>7</v>
      </c>
      <c r="Y16">
        <v>20</v>
      </c>
      <c r="Z16">
        <v>9</v>
      </c>
      <c r="AA16">
        <v>9</v>
      </c>
      <c r="AB16">
        <v>18</v>
      </c>
      <c r="AC16">
        <v>10</v>
      </c>
      <c r="AD16">
        <v>6</v>
      </c>
      <c r="AE16">
        <v>16</v>
      </c>
      <c r="AF16">
        <v>7</v>
      </c>
      <c r="AG16">
        <v>5</v>
      </c>
      <c r="AH16">
        <v>12</v>
      </c>
      <c r="AI16">
        <v>5</v>
      </c>
      <c r="AJ16">
        <v>8</v>
      </c>
      <c r="AK16">
        <v>13</v>
      </c>
      <c r="AL16">
        <v>3</v>
      </c>
      <c r="AM16">
        <v>4</v>
      </c>
      <c r="AN16">
        <v>7</v>
      </c>
      <c r="AO16">
        <v>8</v>
      </c>
      <c r="AP16">
        <v>10</v>
      </c>
      <c r="AQ16">
        <v>18</v>
      </c>
      <c r="AR16">
        <v>76</v>
      </c>
      <c r="AS16">
        <v>74</v>
      </c>
      <c r="AT16">
        <v>150</v>
      </c>
    </row>
    <row r="17" spans="2:46" x14ac:dyDescent="0.2">
      <c r="B17">
        <v>11</v>
      </c>
      <c r="C17">
        <v>11</v>
      </c>
      <c r="D17" t="s">
        <v>68</v>
      </c>
      <c r="E17">
        <v>8</v>
      </c>
      <c r="F17">
        <v>9</v>
      </c>
      <c r="G17">
        <v>17</v>
      </c>
      <c r="H17">
        <v>2</v>
      </c>
      <c r="I17">
        <v>4</v>
      </c>
      <c r="J17">
        <v>6</v>
      </c>
      <c r="K17">
        <v>4</v>
      </c>
      <c r="L17">
        <v>8</v>
      </c>
      <c r="M17">
        <v>12</v>
      </c>
      <c r="N17">
        <v>9</v>
      </c>
      <c r="O17">
        <v>5</v>
      </c>
      <c r="P17">
        <v>14</v>
      </c>
      <c r="Q17">
        <v>6</v>
      </c>
      <c r="R17">
        <v>8</v>
      </c>
      <c r="S17">
        <v>14</v>
      </c>
      <c r="T17">
        <v>8</v>
      </c>
      <c r="U17">
        <v>11</v>
      </c>
      <c r="V17">
        <v>19</v>
      </c>
      <c r="W17">
        <v>10</v>
      </c>
      <c r="X17">
        <v>8</v>
      </c>
      <c r="Y17">
        <v>18</v>
      </c>
      <c r="Z17">
        <v>6</v>
      </c>
      <c r="AA17">
        <v>9</v>
      </c>
      <c r="AB17">
        <v>15</v>
      </c>
      <c r="AC17">
        <v>9</v>
      </c>
      <c r="AD17">
        <v>5</v>
      </c>
      <c r="AE17">
        <v>14</v>
      </c>
      <c r="AF17">
        <v>10</v>
      </c>
      <c r="AG17">
        <v>5</v>
      </c>
      <c r="AH17">
        <v>15</v>
      </c>
      <c r="AI17">
        <v>4</v>
      </c>
      <c r="AJ17">
        <v>7</v>
      </c>
      <c r="AK17">
        <v>11</v>
      </c>
      <c r="AL17">
        <v>4</v>
      </c>
      <c r="AM17">
        <v>5</v>
      </c>
      <c r="AN17">
        <v>9</v>
      </c>
      <c r="AO17">
        <v>7</v>
      </c>
      <c r="AP17">
        <v>6</v>
      </c>
      <c r="AQ17">
        <v>13</v>
      </c>
      <c r="AR17">
        <v>73</v>
      </c>
      <c r="AS17">
        <v>69</v>
      </c>
      <c r="AT17">
        <v>142</v>
      </c>
    </row>
    <row r="18" spans="2:46" x14ac:dyDescent="0.2">
      <c r="B18">
        <v>5</v>
      </c>
      <c r="C18">
        <v>12</v>
      </c>
      <c r="D18" t="s">
        <v>70</v>
      </c>
      <c r="E18">
        <v>10</v>
      </c>
      <c r="F18">
        <v>9</v>
      </c>
      <c r="G18">
        <v>19</v>
      </c>
      <c r="H18">
        <v>11</v>
      </c>
      <c r="I18">
        <v>8</v>
      </c>
      <c r="J18">
        <v>19</v>
      </c>
      <c r="K18">
        <v>5</v>
      </c>
      <c r="L18">
        <v>7</v>
      </c>
      <c r="M18">
        <v>12</v>
      </c>
      <c r="N18">
        <v>4</v>
      </c>
      <c r="O18">
        <v>6</v>
      </c>
      <c r="P18">
        <v>10</v>
      </c>
      <c r="Q18">
        <v>7</v>
      </c>
      <c r="R18">
        <v>8</v>
      </c>
      <c r="S18">
        <v>15</v>
      </c>
      <c r="T18">
        <v>6</v>
      </c>
      <c r="U18">
        <v>11</v>
      </c>
      <c r="V18">
        <v>17</v>
      </c>
      <c r="W18">
        <v>12</v>
      </c>
      <c r="X18">
        <v>9</v>
      </c>
      <c r="Y18">
        <v>21</v>
      </c>
      <c r="Z18">
        <v>8</v>
      </c>
      <c r="AA18">
        <v>8</v>
      </c>
      <c r="AB18">
        <v>16</v>
      </c>
      <c r="AC18">
        <v>7</v>
      </c>
      <c r="AD18">
        <v>5</v>
      </c>
      <c r="AE18">
        <v>12</v>
      </c>
      <c r="AF18">
        <v>4</v>
      </c>
      <c r="AG18">
        <v>9</v>
      </c>
      <c r="AH18">
        <v>13</v>
      </c>
      <c r="AI18">
        <v>8</v>
      </c>
      <c r="AJ18">
        <v>14</v>
      </c>
      <c r="AK18">
        <v>22</v>
      </c>
      <c r="AL18">
        <v>4</v>
      </c>
      <c r="AM18">
        <v>9</v>
      </c>
      <c r="AN18">
        <v>13</v>
      </c>
      <c r="AO18">
        <v>4</v>
      </c>
      <c r="AP18">
        <v>9</v>
      </c>
      <c r="AQ18">
        <v>13</v>
      </c>
      <c r="AR18">
        <v>64</v>
      </c>
      <c r="AS18">
        <v>88</v>
      </c>
      <c r="AT18">
        <v>152</v>
      </c>
    </row>
    <row r="19" spans="2:46" x14ac:dyDescent="0.2">
      <c r="B19">
        <v>3</v>
      </c>
      <c r="C19">
        <v>13</v>
      </c>
      <c r="D19" t="s">
        <v>72</v>
      </c>
      <c r="E19">
        <v>11</v>
      </c>
      <c r="F19">
        <v>8</v>
      </c>
      <c r="G19">
        <v>19</v>
      </c>
      <c r="H19">
        <v>13</v>
      </c>
      <c r="I19">
        <v>5</v>
      </c>
      <c r="J19">
        <v>18</v>
      </c>
      <c r="K19">
        <v>5</v>
      </c>
      <c r="L19">
        <v>5</v>
      </c>
      <c r="M19">
        <v>10</v>
      </c>
      <c r="N19">
        <v>9</v>
      </c>
      <c r="O19">
        <v>7</v>
      </c>
      <c r="P19">
        <v>16</v>
      </c>
      <c r="Q19">
        <v>6</v>
      </c>
      <c r="R19">
        <v>8</v>
      </c>
      <c r="S19">
        <v>14</v>
      </c>
      <c r="T19">
        <v>13</v>
      </c>
      <c r="U19">
        <v>7</v>
      </c>
      <c r="V19">
        <v>20</v>
      </c>
      <c r="W19">
        <v>4</v>
      </c>
      <c r="X19">
        <v>5</v>
      </c>
      <c r="Y19">
        <v>9</v>
      </c>
      <c r="Z19">
        <v>13</v>
      </c>
      <c r="AA19">
        <v>6</v>
      </c>
      <c r="AB19">
        <v>19</v>
      </c>
      <c r="AC19">
        <v>3</v>
      </c>
      <c r="AD19">
        <v>9</v>
      </c>
      <c r="AE19">
        <v>12</v>
      </c>
      <c r="AF19">
        <v>3</v>
      </c>
      <c r="AG19">
        <v>8</v>
      </c>
      <c r="AH19">
        <v>11</v>
      </c>
      <c r="AI19">
        <v>9</v>
      </c>
      <c r="AJ19">
        <v>5</v>
      </c>
      <c r="AK19">
        <v>14</v>
      </c>
      <c r="AL19">
        <v>6</v>
      </c>
      <c r="AM19">
        <v>11</v>
      </c>
      <c r="AN19">
        <v>17</v>
      </c>
      <c r="AO19">
        <v>12</v>
      </c>
      <c r="AP19">
        <v>14</v>
      </c>
      <c r="AQ19">
        <v>26</v>
      </c>
      <c r="AR19">
        <v>78</v>
      </c>
      <c r="AS19">
        <v>80</v>
      </c>
      <c r="AT19">
        <v>158</v>
      </c>
    </row>
    <row r="20" spans="2:46" x14ac:dyDescent="0.2">
      <c r="B20">
        <v>2</v>
      </c>
      <c r="C20">
        <v>14</v>
      </c>
      <c r="D20" t="s">
        <v>74</v>
      </c>
      <c r="E20">
        <v>9</v>
      </c>
      <c r="F20">
        <v>5</v>
      </c>
      <c r="G20">
        <v>14</v>
      </c>
      <c r="H20">
        <v>5</v>
      </c>
      <c r="I20">
        <v>9</v>
      </c>
      <c r="J20">
        <v>14</v>
      </c>
      <c r="K20">
        <v>6</v>
      </c>
      <c r="L20">
        <v>6</v>
      </c>
      <c r="M20">
        <v>12</v>
      </c>
      <c r="N20">
        <v>11</v>
      </c>
      <c r="O20">
        <v>6</v>
      </c>
      <c r="P20">
        <v>17</v>
      </c>
      <c r="Q20">
        <v>8</v>
      </c>
      <c r="R20">
        <v>12</v>
      </c>
      <c r="S20">
        <v>20</v>
      </c>
      <c r="T20">
        <v>9</v>
      </c>
      <c r="U20">
        <v>9</v>
      </c>
      <c r="V20">
        <v>18</v>
      </c>
      <c r="W20">
        <v>7</v>
      </c>
      <c r="X20">
        <v>10</v>
      </c>
      <c r="Y20">
        <v>17</v>
      </c>
      <c r="Z20">
        <v>7</v>
      </c>
      <c r="AA20">
        <v>11</v>
      </c>
      <c r="AB20">
        <v>18</v>
      </c>
      <c r="AC20">
        <v>9</v>
      </c>
      <c r="AD20">
        <v>8</v>
      </c>
      <c r="AE20">
        <v>17</v>
      </c>
      <c r="AF20">
        <v>9</v>
      </c>
      <c r="AG20">
        <v>3</v>
      </c>
      <c r="AH20">
        <v>12</v>
      </c>
      <c r="AI20">
        <v>9</v>
      </c>
      <c r="AJ20">
        <v>6</v>
      </c>
      <c r="AK20">
        <v>15</v>
      </c>
      <c r="AL20">
        <v>7</v>
      </c>
      <c r="AM20">
        <v>6</v>
      </c>
      <c r="AN20">
        <v>13</v>
      </c>
      <c r="AO20">
        <v>10</v>
      </c>
      <c r="AP20">
        <v>7</v>
      </c>
      <c r="AQ20">
        <v>17</v>
      </c>
      <c r="AR20">
        <v>86</v>
      </c>
      <c r="AS20">
        <v>78</v>
      </c>
      <c r="AT20">
        <v>164</v>
      </c>
    </row>
    <row r="21" spans="2:46" x14ac:dyDescent="0.2">
      <c r="B21">
        <v>15</v>
      </c>
      <c r="C21">
        <v>15</v>
      </c>
      <c r="D21" t="s">
        <v>76</v>
      </c>
      <c r="E21">
        <v>3</v>
      </c>
      <c r="F21">
        <v>4</v>
      </c>
      <c r="G21">
        <v>7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2</v>
      </c>
      <c r="U21">
        <v>0</v>
      </c>
      <c r="V21">
        <v>2</v>
      </c>
      <c r="W21">
        <v>0</v>
      </c>
      <c r="X21">
        <v>2</v>
      </c>
      <c r="Y21">
        <v>2</v>
      </c>
      <c r="Z21">
        <v>1</v>
      </c>
      <c r="AA21">
        <v>0</v>
      </c>
      <c r="AB21">
        <v>1</v>
      </c>
      <c r="AC21">
        <v>0</v>
      </c>
      <c r="AD21">
        <v>1</v>
      </c>
      <c r="AE21">
        <v>1</v>
      </c>
      <c r="AF21">
        <v>2</v>
      </c>
      <c r="AG21">
        <v>0</v>
      </c>
      <c r="AH21">
        <v>2</v>
      </c>
      <c r="AI21">
        <v>1</v>
      </c>
      <c r="AJ21">
        <v>1</v>
      </c>
      <c r="AK21">
        <v>2</v>
      </c>
      <c r="AL21">
        <v>2</v>
      </c>
      <c r="AM21">
        <v>1</v>
      </c>
      <c r="AN21">
        <v>3</v>
      </c>
      <c r="AO21">
        <v>0</v>
      </c>
      <c r="AP21">
        <v>1</v>
      </c>
      <c r="AQ21">
        <v>1</v>
      </c>
      <c r="AR21">
        <v>8</v>
      </c>
      <c r="AS21">
        <v>7</v>
      </c>
      <c r="AT21">
        <v>15</v>
      </c>
    </row>
    <row r="22" spans="2:46" x14ac:dyDescent="0.2">
      <c r="B22">
        <v>268</v>
      </c>
      <c r="C22">
        <v>16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2:46" x14ac:dyDescent="0.2">
      <c r="B23">
        <v>267</v>
      </c>
      <c r="C23">
        <v>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2:46" x14ac:dyDescent="0.2">
      <c r="B24">
        <v>266</v>
      </c>
      <c r="C24">
        <v>18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2:46" x14ac:dyDescent="0.2">
      <c r="B25">
        <v>265</v>
      </c>
      <c r="C25">
        <v>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2:46" x14ac:dyDescent="0.2">
      <c r="B26">
        <v>264</v>
      </c>
      <c r="C26">
        <v>20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2:46" x14ac:dyDescent="0.2">
      <c r="B27">
        <v>263</v>
      </c>
      <c r="C27">
        <v>21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2:46" x14ac:dyDescent="0.2">
      <c r="B28">
        <v>262</v>
      </c>
      <c r="C28">
        <v>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2:46" x14ac:dyDescent="0.2">
      <c r="B29">
        <v>261</v>
      </c>
      <c r="C29">
        <v>23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2:46" x14ac:dyDescent="0.2">
      <c r="B30">
        <v>260</v>
      </c>
      <c r="C30">
        <v>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2:46" x14ac:dyDescent="0.2">
      <c r="B31">
        <v>259</v>
      </c>
      <c r="C31">
        <v>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2:46" x14ac:dyDescent="0.2">
      <c r="B32">
        <v>258</v>
      </c>
      <c r="C32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2:46" x14ac:dyDescent="0.2">
      <c r="B33">
        <v>257</v>
      </c>
      <c r="C33">
        <v>27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2:46" x14ac:dyDescent="0.2">
      <c r="B34">
        <v>256</v>
      </c>
      <c r="C34">
        <v>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2:46" x14ac:dyDescent="0.2">
      <c r="B35">
        <v>255</v>
      </c>
      <c r="C35">
        <v>29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2:46" x14ac:dyDescent="0.2">
      <c r="B36">
        <v>254</v>
      </c>
      <c r="C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2:46" x14ac:dyDescent="0.2">
      <c r="B37">
        <v>253</v>
      </c>
      <c r="C37">
        <v>31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2:46" x14ac:dyDescent="0.2">
      <c r="B38">
        <v>252</v>
      </c>
      <c r="C38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2:46" x14ac:dyDescent="0.2">
      <c r="B39">
        <v>251</v>
      </c>
      <c r="C39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2:46" x14ac:dyDescent="0.2">
      <c r="B40">
        <v>250</v>
      </c>
      <c r="C40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2:46" x14ac:dyDescent="0.2">
      <c r="B41">
        <v>249</v>
      </c>
      <c r="C41">
        <v>35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2:46" x14ac:dyDescent="0.2">
      <c r="B42">
        <v>248</v>
      </c>
      <c r="C42">
        <v>36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2:46" x14ac:dyDescent="0.2">
      <c r="B43">
        <v>247</v>
      </c>
      <c r="C43">
        <v>37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2:46" x14ac:dyDescent="0.2">
      <c r="B44">
        <v>246</v>
      </c>
      <c r="C44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2:46" x14ac:dyDescent="0.2">
      <c r="B45">
        <v>245</v>
      </c>
      <c r="C45">
        <v>39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2:46" x14ac:dyDescent="0.2">
      <c r="B46">
        <v>244</v>
      </c>
      <c r="C46">
        <v>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2:46" x14ac:dyDescent="0.2">
      <c r="B47">
        <v>243</v>
      </c>
      <c r="C47">
        <v>41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2:46" x14ac:dyDescent="0.2">
      <c r="B48">
        <v>242</v>
      </c>
      <c r="C48">
        <v>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2:46" x14ac:dyDescent="0.2">
      <c r="B49">
        <v>241</v>
      </c>
      <c r="C49">
        <v>43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2:46" x14ac:dyDescent="0.2">
      <c r="B50">
        <v>240</v>
      </c>
      <c r="C50">
        <v>44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2:46" x14ac:dyDescent="0.2">
      <c r="B51">
        <v>239</v>
      </c>
      <c r="C51">
        <v>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2:46" x14ac:dyDescent="0.2">
      <c r="B52">
        <v>238</v>
      </c>
      <c r="C52">
        <v>46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2:46" x14ac:dyDescent="0.2">
      <c r="B53">
        <v>237</v>
      </c>
      <c r="C53">
        <v>47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2:46" x14ac:dyDescent="0.2">
      <c r="B54">
        <v>236</v>
      </c>
      <c r="C54">
        <v>48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2:46" x14ac:dyDescent="0.2">
      <c r="B55">
        <v>235</v>
      </c>
      <c r="C55">
        <v>49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2:46" x14ac:dyDescent="0.2">
      <c r="B56">
        <v>234</v>
      </c>
      <c r="C56">
        <v>50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2:46" x14ac:dyDescent="0.2">
      <c r="B57">
        <v>233</v>
      </c>
      <c r="C57">
        <v>51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2:46" x14ac:dyDescent="0.2">
      <c r="B58">
        <v>232</v>
      </c>
      <c r="C58">
        <v>52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2:46" x14ac:dyDescent="0.2">
      <c r="B59">
        <v>231</v>
      </c>
      <c r="C59">
        <v>53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2:46" x14ac:dyDescent="0.2">
      <c r="B60">
        <v>230</v>
      </c>
      <c r="C60">
        <v>54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2:46" x14ac:dyDescent="0.2">
      <c r="B61">
        <v>229</v>
      </c>
      <c r="C61">
        <v>55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2:46" x14ac:dyDescent="0.2">
      <c r="B62">
        <v>228</v>
      </c>
      <c r="C62">
        <v>56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2:46" x14ac:dyDescent="0.2">
      <c r="B63">
        <v>227</v>
      </c>
      <c r="C63">
        <v>57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2:46" x14ac:dyDescent="0.2">
      <c r="B64">
        <v>226</v>
      </c>
      <c r="C64">
        <v>58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2:46" x14ac:dyDescent="0.2">
      <c r="B65">
        <v>225</v>
      </c>
      <c r="C65">
        <v>59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2:46" x14ac:dyDescent="0.2">
      <c r="B66">
        <v>224</v>
      </c>
      <c r="C66">
        <v>60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2:46" x14ac:dyDescent="0.2">
      <c r="B67">
        <v>223</v>
      </c>
      <c r="C67">
        <v>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2:46" x14ac:dyDescent="0.2">
      <c r="B68">
        <v>222</v>
      </c>
      <c r="C68">
        <v>62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2:46" x14ac:dyDescent="0.2">
      <c r="B69">
        <v>221</v>
      </c>
      <c r="C69">
        <v>63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2:46" x14ac:dyDescent="0.2">
      <c r="B70">
        <v>220</v>
      </c>
      <c r="C70">
        <v>64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2:46" x14ac:dyDescent="0.2">
      <c r="B71">
        <v>219</v>
      </c>
      <c r="C71">
        <v>65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2:46" x14ac:dyDescent="0.2">
      <c r="B72">
        <v>218</v>
      </c>
      <c r="C72">
        <v>66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2:46" x14ac:dyDescent="0.2">
      <c r="B73">
        <v>217</v>
      </c>
      <c r="C73">
        <v>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2:46" x14ac:dyDescent="0.2">
      <c r="B74">
        <v>216</v>
      </c>
      <c r="C74">
        <v>68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2:46" x14ac:dyDescent="0.2">
      <c r="B75">
        <v>215</v>
      </c>
      <c r="C75">
        <v>69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2:46" x14ac:dyDescent="0.2">
      <c r="B76">
        <v>214</v>
      </c>
      <c r="C76">
        <v>70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2:46" x14ac:dyDescent="0.2">
      <c r="B77">
        <v>213</v>
      </c>
      <c r="C77">
        <v>71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2:46" x14ac:dyDescent="0.2">
      <c r="B78">
        <v>212</v>
      </c>
      <c r="C78">
        <v>72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2:46" x14ac:dyDescent="0.2">
      <c r="B79">
        <v>211</v>
      </c>
      <c r="C79">
        <v>73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2:46" x14ac:dyDescent="0.2">
      <c r="B80">
        <v>210</v>
      </c>
      <c r="C80">
        <v>74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2:46" x14ac:dyDescent="0.2">
      <c r="B81">
        <v>209</v>
      </c>
      <c r="C81">
        <v>75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2:46" x14ac:dyDescent="0.2">
      <c r="B82">
        <v>208</v>
      </c>
      <c r="C82">
        <v>76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2:46" x14ac:dyDescent="0.2">
      <c r="B83">
        <v>207</v>
      </c>
      <c r="C83">
        <v>77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2:46" x14ac:dyDescent="0.2">
      <c r="B84">
        <v>206</v>
      </c>
      <c r="C84">
        <v>78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2:46" x14ac:dyDescent="0.2">
      <c r="B85">
        <v>205</v>
      </c>
      <c r="C85">
        <v>79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2:46" x14ac:dyDescent="0.2">
      <c r="B86">
        <v>204</v>
      </c>
      <c r="C86">
        <v>80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2:46" x14ac:dyDescent="0.2">
      <c r="B87">
        <v>203</v>
      </c>
      <c r="C87">
        <v>81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2:46" x14ac:dyDescent="0.2">
      <c r="B88">
        <v>202</v>
      </c>
      <c r="C88">
        <v>82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2:46" x14ac:dyDescent="0.2">
      <c r="B89">
        <v>201</v>
      </c>
      <c r="C89">
        <v>83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2:46" x14ac:dyDescent="0.2">
      <c r="B90">
        <v>200</v>
      </c>
      <c r="C90">
        <v>84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2:46" x14ac:dyDescent="0.2">
      <c r="B91">
        <v>199</v>
      </c>
      <c r="C91">
        <v>85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2:46" x14ac:dyDescent="0.2">
      <c r="B92">
        <v>198</v>
      </c>
      <c r="C92">
        <v>86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2:46" x14ac:dyDescent="0.2">
      <c r="B93">
        <v>197</v>
      </c>
      <c r="C93">
        <v>87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2:46" x14ac:dyDescent="0.2">
      <c r="B94">
        <v>196</v>
      </c>
      <c r="C94">
        <v>88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2:46" x14ac:dyDescent="0.2">
      <c r="B95">
        <v>195</v>
      </c>
      <c r="C95">
        <v>89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2:46" x14ac:dyDescent="0.2">
      <c r="B96">
        <v>194</v>
      </c>
      <c r="C96">
        <v>90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2:46" x14ac:dyDescent="0.2">
      <c r="B97">
        <v>193</v>
      </c>
      <c r="C97">
        <v>91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2:46" x14ac:dyDescent="0.2">
      <c r="B98">
        <v>192</v>
      </c>
      <c r="C98">
        <v>92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2:46" x14ac:dyDescent="0.2">
      <c r="B99">
        <v>191</v>
      </c>
      <c r="C99">
        <v>93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2:46" x14ac:dyDescent="0.2">
      <c r="B100">
        <v>190</v>
      </c>
      <c r="C100">
        <v>94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2:46" x14ac:dyDescent="0.2">
      <c r="B101">
        <v>189</v>
      </c>
      <c r="C101">
        <v>95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2:46" x14ac:dyDescent="0.2">
      <c r="B102">
        <v>188</v>
      </c>
      <c r="C102">
        <v>96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2:46" x14ac:dyDescent="0.2">
      <c r="B103">
        <v>187</v>
      </c>
      <c r="C103">
        <v>97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2:46" x14ac:dyDescent="0.2">
      <c r="B104">
        <v>186</v>
      </c>
      <c r="C104">
        <v>98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2:46" x14ac:dyDescent="0.2">
      <c r="B105">
        <v>185</v>
      </c>
      <c r="C105">
        <v>99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2:46" x14ac:dyDescent="0.2">
      <c r="B106">
        <v>184</v>
      </c>
      <c r="C106">
        <v>100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2:46" x14ac:dyDescent="0.2">
      <c r="B107">
        <v>183</v>
      </c>
      <c r="C107">
        <v>101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2:46" x14ac:dyDescent="0.2">
      <c r="B108">
        <v>182</v>
      </c>
      <c r="C108">
        <v>102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2:46" x14ac:dyDescent="0.2">
      <c r="B109">
        <v>181</v>
      </c>
      <c r="C109">
        <v>103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2:46" x14ac:dyDescent="0.2">
      <c r="B110">
        <v>180</v>
      </c>
      <c r="C110">
        <v>104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2:46" x14ac:dyDescent="0.2">
      <c r="B111">
        <v>179</v>
      </c>
      <c r="C111">
        <v>105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2:46" x14ac:dyDescent="0.2">
      <c r="B112">
        <v>178</v>
      </c>
      <c r="C112">
        <v>106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2:46" x14ac:dyDescent="0.2">
      <c r="B113">
        <v>177</v>
      </c>
      <c r="C113">
        <v>107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2:46" x14ac:dyDescent="0.2">
      <c r="B114">
        <v>176</v>
      </c>
      <c r="C114">
        <v>108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2:46" x14ac:dyDescent="0.2">
      <c r="B115">
        <v>175</v>
      </c>
      <c r="C115">
        <v>109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2:46" x14ac:dyDescent="0.2">
      <c r="B116">
        <v>174</v>
      </c>
      <c r="C116">
        <v>110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2:46" x14ac:dyDescent="0.2">
      <c r="B117">
        <v>173</v>
      </c>
      <c r="C117">
        <v>111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2:46" x14ac:dyDescent="0.2">
      <c r="B118">
        <v>172</v>
      </c>
      <c r="C118">
        <v>112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2:46" x14ac:dyDescent="0.2">
      <c r="B119">
        <v>171</v>
      </c>
      <c r="C119">
        <v>113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2:46" x14ac:dyDescent="0.2">
      <c r="B120">
        <v>170</v>
      </c>
      <c r="C120">
        <v>114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2:46" x14ac:dyDescent="0.2">
      <c r="B121">
        <v>169</v>
      </c>
      <c r="C121">
        <v>115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2:46" x14ac:dyDescent="0.2">
      <c r="B122">
        <v>168</v>
      </c>
      <c r="C122">
        <v>116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2:46" x14ac:dyDescent="0.2">
      <c r="B123">
        <v>167</v>
      </c>
      <c r="C123">
        <v>117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2:46" x14ac:dyDescent="0.2">
      <c r="B124">
        <v>166</v>
      </c>
      <c r="C124">
        <v>118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2:46" x14ac:dyDescent="0.2">
      <c r="B125">
        <v>165</v>
      </c>
      <c r="C125">
        <v>119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2:46" x14ac:dyDescent="0.2">
      <c r="B126">
        <v>164</v>
      </c>
      <c r="C126">
        <v>120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2:46" x14ac:dyDescent="0.2">
      <c r="B127">
        <v>163</v>
      </c>
      <c r="C127">
        <v>121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2:46" x14ac:dyDescent="0.2">
      <c r="B128">
        <v>162</v>
      </c>
      <c r="C128">
        <v>122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2:46" x14ac:dyDescent="0.2">
      <c r="B129">
        <v>161</v>
      </c>
      <c r="C129">
        <v>123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2:46" x14ac:dyDescent="0.2">
      <c r="B130">
        <v>160</v>
      </c>
      <c r="C130">
        <v>124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2:46" x14ac:dyDescent="0.2">
      <c r="B131">
        <v>159</v>
      </c>
      <c r="C131">
        <v>125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2:46" x14ac:dyDescent="0.2">
      <c r="B132">
        <v>158</v>
      </c>
      <c r="C132">
        <v>126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2:46" x14ac:dyDescent="0.2">
      <c r="B133">
        <v>157</v>
      </c>
      <c r="C133">
        <v>127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2:46" x14ac:dyDescent="0.2">
      <c r="B134">
        <v>156</v>
      </c>
      <c r="C134">
        <v>128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2:46" x14ac:dyDescent="0.2">
      <c r="B135">
        <v>155</v>
      </c>
      <c r="C135">
        <v>129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2:46" x14ac:dyDescent="0.2">
      <c r="B136">
        <v>154</v>
      </c>
      <c r="C136">
        <v>130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2:46" x14ac:dyDescent="0.2">
      <c r="B137">
        <v>153</v>
      </c>
      <c r="C137">
        <v>131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2:46" x14ac:dyDescent="0.2">
      <c r="B138">
        <v>152</v>
      </c>
      <c r="C138">
        <v>132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2:46" x14ac:dyDescent="0.2">
      <c r="B139">
        <v>151</v>
      </c>
      <c r="C139">
        <v>133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2:46" x14ac:dyDescent="0.2">
      <c r="B140">
        <v>150</v>
      </c>
      <c r="C140">
        <v>134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2:46" x14ac:dyDescent="0.2">
      <c r="B141">
        <v>149</v>
      </c>
      <c r="C141">
        <v>135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2:46" x14ac:dyDescent="0.2">
      <c r="B142">
        <v>148</v>
      </c>
      <c r="C142">
        <v>136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2:46" x14ac:dyDescent="0.2">
      <c r="B143">
        <v>147</v>
      </c>
      <c r="C143">
        <v>137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2:46" x14ac:dyDescent="0.2">
      <c r="B144">
        <v>146</v>
      </c>
      <c r="C144">
        <v>138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2:46" x14ac:dyDescent="0.2">
      <c r="B145">
        <v>145</v>
      </c>
      <c r="C145">
        <v>139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2:46" x14ac:dyDescent="0.2">
      <c r="B146">
        <v>144</v>
      </c>
      <c r="C146">
        <v>140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2:46" x14ac:dyDescent="0.2">
      <c r="B147">
        <v>143</v>
      </c>
      <c r="C147">
        <v>141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2:46" x14ac:dyDescent="0.2">
      <c r="B148">
        <v>142</v>
      </c>
      <c r="C148">
        <v>142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2:46" x14ac:dyDescent="0.2">
      <c r="B149">
        <v>141</v>
      </c>
      <c r="C149">
        <v>143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2:46" x14ac:dyDescent="0.2">
      <c r="B150">
        <v>140</v>
      </c>
      <c r="C150">
        <v>144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2:46" x14ac:dyDescent="0.2">
      <c r="B151">
        <v>139</v>
      </c>
      <c r="C151">
        <v>145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2:46" x14ac:dyDescent="0.2">
      <c r="B152">
        <v>138</v>
      </c>
      <c r="C152">
        <v>146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2:46" x14ac:dyDescent="0.2">
      <c r="B153">
        <v>137</v>
      </c>
      <c r="C153">
        <v>147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2:46" x14ac:dyDescent="0.2">
      <c r="B154">
        <v>136</v>
      </c>
      <c r="C154">
        <v>148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2:46" x14ac:dyDescent="0.2">
      <c r="B155">
        <v>135</v>
      </c>
      <c r="C155">
        <v>149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2:46" x14ac:dyDescent="0.2">
      <c r="B156">
        <v>134</v>
      </c>
      <c r="C156">
        <v>150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2:46" x14ac:dyDescent="0.2">
      <c r="B157">
        <v>133</v>
      </c>
      <c r="C157">
        <v>151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2:46" x14ac:dyDescent="0.2">
      <c r="B158">
        <v>132</v>
      </c>
      <c r="C158">
        <v>152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2:46" x14ac:dyDescent="0.2">
      <c r="B159">
        <v>131</v>
      </c>
      <c r="C159">
        <v>153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2:46" x14ac:dyDescent="0.2">
      <c r="B160">
        <v>130</v>
      </c>
      <c r="C160">
        <v>154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2:46" x14ac:dyDescent="0.2">
      <c r="B161">
        <v>129</v>
      </c>
      <c r="C161">
        <v>155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2:46" x14ac:dyDescent="0.2">
      <c r="B162">
        <v>128</v>
      </c>
      <c r="C162">
        <v>156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2:46" x14ac:dyDescent="0.2">
      <c r="B163">
        <v>127</v>
      </c>
      <c r="C163">
        <v>157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2:46" x14ac:dyDescent="0.2">
      <c r="B164">
        <v>126</v>
      </c>
      <c r="C164">
        <v>158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2:46" x14ac:dyDescent="0.2">
      <c r="B165">
        <v>125</v>
      </c>
      <c r="C165">
        <v>159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2:46" x14ac:dyDescent="0.2">
      <c r="B166">
        <v>124</v>
      </c>
      <c r="C166">
        <v>160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2:46" x14ac:dyDescent="0.2">
      <c r="B167">
        <v>123</v>
      </c>
      <c r="C167">
        <v>161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2:46" x14ac:dyDescent="0.2">
      <c r="B168">
        <v>122</v>
      </c>
      <c r="C168">
        <v>162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2:46" x14ac:dyDescent="0.2">
      <c r="B169">
        <v>121</v>
      </c>
      <c r="C169">
        <v>163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2:46" x14ac:dyDescent="0.2">
      <c r="B170">
        <v>120</v>
      </c>
      <c r="C170">
        <v>164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2:46" x14ac:dyDescent="0.2">
      <c r="B171">
        <v>119</v>
      </c>
      <c r="C171">
        <v>165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2:46" x14ac:dyDescent="0.2">
      <c r="B172">
        <v>118</v>
      </c>
      <c r="C172">
        <v>166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2:46" x14ac:dyDescent="0.2">
      <c r="B173">
        <v>117</v>
      </c>
      <c r="C173">
        <v>167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2:46" x14ac:dyDescent="0.2">
      <c r="B174">
        <v>116</v>
      </c>
      <c r="C174">
        <v>168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2:46" x14ac:dyDescent="0.2">
      <c r="B175">
        <v>115</v>
      </c>
      <c r="C175">
        <v>169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2:46" x14ac:dyDescent="0.2">
      <c r="B176">
        <v>114</v>
      </c>
      <c r="C176">
        <v>170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2:46" x14ac:dyDescent="0.2">
      <c r="B177">
        <v>113</v>
      </c>
      <c r="C177">
        <v>171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2:46" x14ac:dyDescent="0.2">
      <c r="B178">
        <v>112</v>
      </c>
      <c r="C178">
        <v>172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2:46" x14ac:dyDescent="0.2">
      <c r="B179">
        <v>111</v>
      </c>
      <c r="C179">
        <v>173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2:46" x14ac:dyDescent="0.2">
      <c r="B180">
        <v>110</v>
      </c>
      <c r="C180">
        <v>174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2:46" x14ac:dyDescent="0.2">
      <c r="B181">
        <v>109</v>
      </c>
      <c r="C181">
        <v>175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2:46" x14ac:dyDescent="0.2">
      <c r="B182">
        <v>108</v>
      </c>
      <c r="C182">
        <v>176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2:46" x14ac:dyDescent="0.2">
      <c r="B183">
        <v>107</v>
      </c>
      <c r="C183">
        <v>177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2:46" x14ac:dyDescent="0.2">
      <c r="B184">
        <v>106</v>
      </c>
      <c r="C184">
        <v>178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2:46" x14ac:dyDescent="0.2">
      <c r="B185">
        <v>105</v>
      </c>
      <c r="C185">
        <v>179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2:46" x14ac:dyDescent="0.2">
      <c r="B186">
        <v>104</v>
      </c>
      <c r="C186">
        <v>180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2:46" x14ac:dyDescent="0.2">
      <c r="B187">
        <v>103</v>
      </c>
      <c r="C187">
        <v>181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2:46" x14ac:dyDescent="0.2">
      <c r="B188">
        <v>102</v>
      </c>
      <c r="C188">
        <v>182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2:46" x14ac:dyDescent="0.2">
      <c r="B189">
        <v>101</v>
      </c>
      <c r="C189">
        <v>183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2:46" x14ac:dyDescent="0.2">
      <c r="B190">
        <v>100</v>
      </c>
      <c r="C190">
        <v>184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2:46" x14ac:dyDescent="0.2">
      <c r="B191">
        <v>99</v>
      </c>
      <c r="C191">
        <v>185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2:46" x14ac:dyDescent="0.2">
      <c r="B192">
        <v>98</v>
      </c>
      <c r="C192">
        <v>186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2:46" x14ac:dyDescent="0.2">
      <c r="B193">
        <v>97</v>
      </c>
      <c r="C193">
        <v>187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2:46" x14ac:dyDescent="0.2">
      <c r="B194">
        <v>96</v>
      </c>
      <c r="C194">
        <v>188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2:46" x14ac:dyDescent="0.2">
      <c r="B195">
        <v>95</v>
      </c>
      <c r="C195">
        <v>189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2:46" x14ac:dyDescent="0.2">
      <c r="B196">
        <v>94</v>
      </c>
      <c r="C196">
        <v>190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2:46" x14ac:dyDescent="0.2">
      <c r="B197">
        <v>93</v>
      </c>
      <c r="C197">
        <v>191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2:46" x14ac:dyDescent="0.2">
      <c r="B198">
        <v>92</v>
      </c>
      <c r="C198">
        <v>192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2:46" x14ac:dyDescent="0.2">
      <c r="B199">
        <v>91</v>
      </c>
      <c r="C199">
        <v>193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2:46" x14ac:dyDescent="0.2">
      <c r="B200">
        <v>90</v>
      </c>
      <c r="C200">
        <v>194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2:46" x14ac:dyDescent="0.2">
      <c r="B201">
        <v>89</v>
      </c>
      <c r="C201">
        <v>195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2:46" x14ac:dyDescent="0.2">
      <c r="B202">
        <v>88</v>
      </c>
      <c r="C202">
        <v>196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2:46" x14ac:dyDescent="0.2">
      <c r="B203">
        <v>87</v>
      </c>
      <c r="C203">
        <v>197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2:46" x14ac:dyDescent="0.2">
      <c r="B204">
        <v>86</v>
      </c>
      <c r="C204">
        <v>198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2:46" x14ac:dyDescent="0.2">
      <c r="B205">
        <v>85</v>
      </c>
      <c r="C205">
        <v>199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2:46" x14ac:dyDescent="0.2">
      <c r="B206">
        <v>84</v>
      </c>
      <c r="C206">
        <v>200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2:46" x14ac:dyDescent="0.2">
      <c r="B207">
        <v>83</v>
      </c>
      <c r="C207">
        <v>201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2:46" x14ac:dyDescent="0.2">
      <c r="B208">
        <v>82</v>
      </c>
      <c r="C208">
        <v>202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2:46" x14ac:dyDescent="0.2">
      <c r="B209">
        <v>81</v>
      </c>
      <c r="C209">
        <v>203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2:46" x14ac:dyDescent="0.2">
      <c r="B210">
        <v>80</v>
      </c>
      <c r="C210">
        <v>204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2:46" x14ac:dyDescent="0.2">
      <c r="B211">
        <v>79</v>
      </c>
      <c r="C211">
        <v>205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2:46" x14ac:dyDescent="0.2">
      <c r="B212">
        <v>78</v>
      </c>
      <c r="C212">
        <v>206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2:46" x14ac:dyDescent="0.2">
      <c r="B213">
        <v>77</v>
      </c>
      <c r="C213">
        <v>207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2:46" x14ac:dyDescent="0.2">
      <c r="B214">
        <v>76</v>
      </c>
      <c r="C214">
        <v>208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2:46" x14ac:dyDescent="0.2">
      <c r="B215">
        <v>75</v>
      </c>
      <c r="C215">
        <v>209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2:46" x14ac:dyDescent="0.2">
      <c r="B216">
        <v>74</v>
      </c>
      <c r="C216">
        <v>210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2:46" x14ac:dyDescent="0.2">
      <c r="B217">
        <v>73</v>
      </c>
      <c r="C217">
        <v>211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2:46" x14ac:dyDescent="0.2">
      <c r="B218">
        <v>72</v>
      </c>
      <c r="C218">
        <v>212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2:46" x14ac:dyDescent="0.2">
      <c r="B219">
        <v>71</v>
      </c>
      <c r="C219">
        <v>213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2:46" x14ac:dyDescent="0.2">
      <c r="B220">
        <v>70</v>
      </c>
      <c r="C220">
        <v>214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2:46" x14ac:dyDescent="0.2">
      <c r="B221">
        <v>69</v>
      </c>
      <c r="C221">
        <v>215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2:46" x14ac:dyDescent="0.2">
      <c r="B222">
        <v>68</v>
      </c>
      <c r="C222">
        <v>216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2:46" x14ac:dyDescent="0.2">
      <c r="B223">
        <v>67</v>
      </c>
      <c r="C223">
        <v>217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2:46" x14ac:dyDescent="0.2">
      <c r="B224">
        <v>66</v>
      </c>
      <c r="C224">
        <v>218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2:46" x14ac:dyDescent="0.2">
      <c r="B225">
        <v>65</v>
      </c>
      <c r="C225">
        <v>219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2:46" x14ac:dyDescent="0.2">
      <c r="B226">
        <v>64</v>
      </c>
      <c r="C226">
        <v>220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2:46" x14ac:dyDescent="0.2">
      <c r="B227">
        <v>63</v>
      </c>
      <c r="C227">
        <v>221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2:46" x14ac:dyDescent="0.2">
      <c r="B228">
        <v>62</v>
      </c>
      <c r="C228">
        <v>222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2:46" x14ac:dyDescent="0.2">
      <c r="B229">
        <v>61</v>
      </c>
      <c r="C229">
        <v>223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2:46" x14ac:dyDescent="0.2">
      <c r="B230">
        <v>60</v>
      </c>
      <c r="C230">
        <v>224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2:46" x14ac:dyDescent="0.2">
      <c r="B231">
        <v>59</v>
      </c>
      <c r="C231">
        <v>225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2:46" x14ac:dyDescent="0.2">
      <c r="B232">
        <v>58</v>
      </c>
      <c r="C232">
        <v>226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2:46" x14ac:dyDescent="0.2">
      <c r="B233">
        <v>57</v>
      </c>
      <c r="C233">
        <v>227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2:46" x14ac:dyDescent="0.2">
      <c r="B234">
        <v>56</v>
      </c>
      <c r="C234">
        <v>228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2:46" x14ac:dyDescent="0.2">
      <c r="B235">
        <v>55</v>
      </c>
      <c r="C235">
        <v>229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2:46" x14ac:dyDescent="0.2">
      <c r="B236">
        <v>54</v>
      </c>
      <c r="C236">
        <v>230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2:46" x14ac:dyDescent="0.2">
      <c r="B237">
        <v>53</v>
      </c>
      <c r="C237">
        <v>231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2:46" x14ac:dyDescent="0.2">
      <c r="B238">
        <v>52</v>
      </c>
      <c r="C238">
        <v>232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2:46" x14ac:dyDescent="0.2">
      <c r="B239">
        <v>51</v>
      </c>
      <c r="C239">
        <v>233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2:46" x14ac:dyDescent="0.2">
      <c r="B240">
        <v>50</v>
      </c>
      <c r="C240">
        <v>234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2:46" x14ac:dyDescent="0.2">
      <c r="B241">
        <v>49</v>
      </c>
      <c r="C241">
        <v>235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2:46" x14ac:dyDescent="0.2">
      <c r="B242">
        <v>48</v>
      </c>
      <c r="C242">
        <v>236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2:46" x14ac:dyDescent="0.2">
      <c r="B243">
        <v>47</v>
      </c>
      <c r="C243">
        <v>237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2:46" x14ac:dyDescent="0.2">
      <c r="B244">
        <v>46</v>
      </c>
      <c r="C244">
        <v>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2:46" x14ac:dyDescent="0.2">
      <c r="B245">
        <v>45</v>
      </c>
      <c r="C245">
        <v>239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2:46" x14ac:dyDescent="0.2">
      <c r="B246">
        <v>44</v>
      </c>
      <c r="C246">
        <v>240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2:46" x14ac:dyDescent="0.2">
      <c r="B247">
        <v>43</v>
      </c>
      <c r="C247">
        <v>241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2:46" x14ac:dyDescent="0.2">
      <c r="B248">
        <v>42</v>
      </c>
      <c r="C248">
        <v>242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2:46" x14ac:dyDescent="0.2">
      <c r="B249">
        <v>41</v>
      </c>
      <c r="C249">
        <v>243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2:46" x14ac:dyDescent="0.2">
      <c r="B250">
        <v>40</v>
      </c>
      <c r="C250">
        <v>244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2:46" x14ac:dyDescent="0.2">
      <c r="B251">
        <v>39</v>
      </c>
      <c r="C251">
        <v>245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2:46" x14ac:dyDescent="0.2">
      <c r="B252">
        <v>38</v>
      </c>
      <c r="C252">
        <v>246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2:46" x14ac:dyDescent="0.2">
      <c r="B253">
        <v>37</v>
      </c>
      <c r="C253">
        <v>247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2:46" x14ac:dyDescent="0.2">
      <c r="B254">
        <v>36</v>
      </c>
      <c r="C254">
        <v>248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2:46" x14ac:dyDescent="0.2">
      <c r="B255">
        <v>35</v>
      </c>
      <c r="C255">
        <v>249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2:46" x14ac:dyDescent="0.2">
      <c r="B256">
        <v>34</v>
      </c>
      <c r="C256">
        <v>250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2:46" x14ac:dyDescent="0.2">
      <c r="B257">
        <v>33</v>
      </c>
      <c r="C257">
        <v>251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2:46" x14ac:dyDescent="0.2">
      <c r="B258">
        <v>32</v>
      </c>
      <c r="C258">
        <v>252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2:46" x14ac:dyDescent="0.2">
      <c r="B259">
        <v>31</v>
      </c>
      <c r="C259">
        <v>253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2:46" x14ac:dyDescent="0.2">
      <c r="B260">
        <v>30</v>
      </c>
      <c r="C260">
        <v>254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2:46" x14ac:dyDescent="0.2">
      <c r="B261">
        <v>29</v>
      </c>
      <c r="C261">
        <v>255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2:46" x14ac:dyDescent="0.2">
      <c r="B262">
        <v>28</v>
      </c>
      <c r="C262">
        <v>256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2:46" x14ac:dyDescent="0.2">
      <c r="B263">
        <v>27</v>
      </c>
      <c r="C263">
        <v>257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2:46" x14ac:dyDescent="0.2">
      <c r="B264">
        <v>26</v>
      </c>
      <c r="C264">
        <v>258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2:46" x14ac:dyDescent="0.2">
      <c r="B265">
        <v>25</v>
      </c>
      <c r="C265">
        <v>259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2:46" x14ac:dyDescent="0.2">
      <c r="B266">
        <v>24</v>
      </c>
      <c r="C266">
        <v>260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2:46" x14ac:dyDescent="0.2">
      <c r="B267">
        <v>23</v>
      </c>
      <c r="C267">
        <v>261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2:46" x14ac:dyDescent="0.2">
      <c r="B268">
        <v>22</v>
      </c>
      <c r="C268">
        <v>262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 spans="2:46" x14ac:dyDescent="0.2">
      <c r="B269">
        <v>21</v>
      </c>
      <c r="C269">
        <v>263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2:46" x14ac:dyDescent="0.2">
      <c r="B270">
        <v>20</v>
      </c>
      <c r="C270">
        <v>264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2:46" x14ac:dyDescent="0.2">
      <c r="B271">
        <v>19</v>
      </c>
      <c r="C271">
        <v>265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2:46" x14ac:dyDescent="0.2">
      <c r="B272">
        <v>18</v>
      </c>
      <c r="C272">
        <v>266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2:46" x14ac:dyDescent="0.2">
      <c r="B273">
        <v>17</v>
      </c>
      <c r="C273">
        <v>267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2:46" x14ac:dyDescent="0.2">
      <c r="B274">
        <v>16</v>
      </c>
      <c r="C274">
        <v>268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Referrals</vt:lpstr>
      <vt:lpstr>calcs</vt:lpstr>
      <vt:lpstr>Data Staging Provider Stats</vt:lpstr>
      <vt:lpstr>Data Staging Lag</vt:lpstr>
      <vt:lpstr>Data Staging Practice Stats</vt:lpstr>
      <vt:lpstr>Referrals!Print_Area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Villamana</dc:creator>
  <cp:lastModifiedBy>Jonathan Lavoy</cp:lastModifiedBy>
  <cp:lastPrinted>2025-11-20T18:30:45Z</cp:lastPrinted>
  <dcterms:created xsi:type="dcterms:W3CDTF">2023-06-14T14:23:42Z</dcterms:created>
  <dcterms:modified xsi:type="dcterms:W3CDTF">2025-11-20T18:32:14Z</dcterms:modified>
</cp:coreProperties>
</file>